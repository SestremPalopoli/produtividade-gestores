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479" documentId="8_{856E4F16-6CBA-4CD5-819E-B9A0CC391AA1}" xr6:coauthVersionLast="47" xr6:coauthVersionMax="47" xr10:uidLastSave="{144EFF92-4C23-4597-AAF4-0A36E1214DD1}"/>
  <bookViews>
    <workbookView xWindow="-110" yWindow="-110" windowWidth="19420" windowHeight="10300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LIBERADO COMERCIAL" sheetId="19" r:id="rId14"/>
    <sheet name="CALENDÁRIO" sheetId="7" r:id="rId15"/>
  </sheets>
  <definedNames>
    <definedName name="DadosExternos_1" localSheetId="2" hidden="1">CHECK_FUSIONS!$A$1:$C$200</definedName>
    <definedName name="DadosExternos_1" localSheetId="4" hidden="1">DEG_REDE!$A$1:$C$1294</definedName>
    <definedName name="DadosExternos_1" localSheetId="7" hidden="1">FISCALIZAÇÃO!$A$1:$C$637</definedName>
    <definedName name="DadosExternos_1" localSheetId="11" hidden="1">FMO!$A$1:$B$642</definedName>
    <definedName name="DadosExternos_1" localSheetId="13" hidden="1">'LIBERADO COMERCIAL'!$A$1:$AA$302</definedName>
    <definedName name="DadosExternos_1" localSheetId="0" hidden="1">'RIT_FUSIONS'!$A$1:$C$783</definedName>
    <definedName name="DadosExternos_1" localSheetId="9" hidden="1">'SD_7'!$A$1:$B$3458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2" i="17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228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2402" i="8"/>
  <c r="D2403" i="8"/>
  <c r="D2404" i="8"/>
  <c r="D2405" i="8"/>
  <c r="D2406" i="8"/>
  <c r="D2407" i="8"/>
  <c r="D2408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805" i="4"/>
  <c r="D806" i="4"/>
  <c r="D807" i="4"/>
  <c r="D808" i="4"/>
  <c r="D809" i="4"/>
  <c r="D810" i="4"/>
  <c r="D811" i="4"/>
  <c r="D812" i="4"/>
  <c r="D813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6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7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8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9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0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1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2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3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<sst xmlns="http://schemas.openxmlformats.org/spreadsheetml/2006/main" count="18565" uniqueCount="788">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</sst>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11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83" tableType="queryTable" totalsRowShown="0" headerRowDxfId="110" dataDxfId="109">
  <autoFilter ref="A1:D783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47"/>
    <tableColumn id="2" xr3:uid="{F880E8D1-6C28-4099-9845-EA88013A035E}" uniqueName="2" name="DATA" queryTableFieldId="2" dataDxfId="46"/>
    <tableColumn id="3" xr3:uid="{57A33A25-B0AE-4792-AFB1-FFA2C978BE40}" uniqueName="3" name="VISTORIADOR" queryTableFieldId="3" dataDxfId="45"/>
    <tableColumn id="4" xr3:uid="{05F87BF3-278B-496B-9F4A-9DEAAA44832D}" uniqueName="4" name="FLAG_NOVO" queryTableFieldId="4" dataDxfId="44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63" totalsRowShown="0" headerRowDxfId="108" dataDxfId="107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06"/>
    <tableColumn id="2" xr3:uid="{E090F70F-A86B-40C4-90A6-19A978B3A0EA}" name="DATA" dataDxfId="105"/>
    <tableColumn id="3" xr3:uid="{95BEDCF8-FFA2-4848-A153-81216743EACE}" name="VISTORIADOR" dataDxfId="104"/>
    <tableColumn id="4" xr3:uid="{7C7ABEC8-119B-4C97-9AC4-48A55E717318}" name="MÊS" dataDxfId="103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0" tableType="queryTable" totalsRowShown="0" headerRowDxfId="102" dataDxfId="101">
  <autoFilter ref="A1:D200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43"/>
    <tableColumn id="2" xr3:uid="{33B1DD82-CBD7-47CD-AD30-199BB23161E6}" uniqueName="2" name="DATA" queryTableFieldId="2" dataDxfId="42"/>
    <tableColumn id="3" xr3:uid="{F5A03AF9-5163-4BDF-BCB8-68511D7E04C4}" uniqueName="3" name="VISTORIADOR" queryTableFieldId="3" dataDxfId="41"/>
    <tableColumn id="4" xr3:uid="{F5F10453-4CE7-48B7-B57C-3B84A17E6ED2}" uniqueName="4" name="FLAG_NOVO" queryTableFieldId="4" dataDxfId="40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13" totalsRowShown="0" headerRowDxfId="100" dataDxfId="99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98"/>
    <tableColumn id="2" xr3:uid="{CEC8F604-1349-496E-990B-C5EE216BD0E9}" name="DATA" dataDxfId="97"/>
    <tableColumn id="3" xr3:uid="{0F017C7A-66B2-4D7C-A2B2-F4A6A8E24955}" name="VISTORIADOR" dataDxfId="96"/>
    <tableColumn id="4" xr3:uid="{3076E270-6260-4B11-BD80-8371FA5C208E}" name="MÊS" dataDxfId="9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94" tableType="queryTable" totalsRowShown="0" headerRowDxfId="94" dataDxfId="93">
  <autoFilter ref="A1:D1294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39"/>
    <tableColumn id="2" xr3:uid="{B4848136-0BA2-40FB-A7DF-313A024D3D08}" uniqueName="2" name="DATA" queryTableFieldId="2" dataDxfId="38"/>
    <tableColumn id="3" xr3:uid="{FB47D4DC-3FD9-4842-BA89-DFBB761AE550}" uniqueName="3" name="GESTORES" queryTableFieldId="3" dataDxfId="37"/>
    <tableColumn id="4" xr3:uid="{DF7F6FED-B2F1-4849-B849-5601917C616B}" uniqueName="4" name="FLAG_NOVO" queryTableFieldId="4" dataDxfId="36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8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92"/>
    <tableColumn id="2" xr3:uid="{919858C3-6CE9-494C-9466-12C4478BB7C9}" name="DATA" dataDxfId="91"/>
    <tableColumn id="3" xr3:uid="{7264B951-F603-4390-811C-70CC63BA9E88}" name="VISTORIADOR" dataDxfId="90"/>
    <tableColumn id="4" xr3:uid="{4FCCAEAD-3242-4CF0-8F0E-4789A0289B00}" name="MÊS" dataDxfId="89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8" totalsRowShown="0" headerRowDxfId="88" dataDxfId="87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86"/>
    <tableColumn id="2" xr3:uid="{18AECB4F-E5F4-4744-A30A-E027895B943C}" name="DATA" dataDxfId="85"/>
    <tableColumn id="3" xr3:uid="{97FC8318-F6FC-406A-87F8-1FD2CFDBC47C}" name="VISTORIADOR" dataDxfId="84"/>
    <tableColumn id="4" xr3:uid="{809081BF-1337-46FE-BD28-D36A797454CE}" name="MÊS" dataDxfId="83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37" tableType="queryTable" totalsRowShown="0" headerRowDxfId="82" dataDxfId="81">
  <autoFilter ref="A1:D637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35"/>
    <tableColumn id="2" xr3:uid="{24193972-26D9-4ADF-8F89-20F8D5839CAB}" uniqueName="2" name="DATA" queryTableFieldId="2" dataDxfId="34"/>
    <tableColumn id="3" xr3:uid="{DB5DBEBC-D7E3-49C2-A0F5-79BA0EEA24F7}" uniqueName="3" name="GESTORES" queryTableFieldId="3" dataDxfId="33"/>
    <tableColumn id="4" xr3:uid="{79DF6992-E834-4E9A-BAAD-BAFB987325CA}" uniqueName="4" name="FLAG_NOVO" queryTableFieldId="4" dataDxfId="32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37" totalsRowShown="0" headerRowDxfId="80" dataDxfId="79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78"/>
    <tableColumn id="2" xr3:uid="{4668F65F-3D98-44CC-902B-A554AED50AF6}" name="DATA" dataDxfId="77"/>
    <tableColumn id="3" xr3:uid="{CB326BFE-9810-43CC-B95B-D43E5DA01645}" name="VISTORIADOR" dataDxfId="76"/>
    <tableColumn id="4" xr3:uid="{02A0D429-69CF-4575-A65F-3C22CF27E1C8}" name="MÊS" dataDxfId="75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74" dataDxfId="73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31"/>
    <tableColumn id="2" xr3:uid="{C5BFE035-B099-4161-8912-C8872BD57198}" uniqueName="2" name="GESTORES" queryTableFieldId="2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72" dataDxfId="71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0"/>
    <tableColumn id="2" xr3:uid="{C05B1FA0-D9E2-404C-BFC3-90F6A361A5FE}" name="VISTORIADOR" dataDxfId="69"/>
    <tableColumn id="3" xr3:uid="{F8E364E2-CD68-4208-AB75-80A6C3B68660}" name="ANO" dataDxfId="68">
      <calculatedColumnFormula>YEAR(Tabela14[[#This Row],[DATA]])</calculatedColumnFormula>
    </tableColumn>
    <tableColumn id="4" xr3:uid="{A708E784-3DEF-4538-A6F0-FAE569B72CA1}" name="MÊS" dataDxfId="67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2" tableType="queryTable" totalsRowShown="0" headerRowDxfId="66" dataDxfId="65">
  <sortState xmlns:xlrd2="http://schemas.microsoft.com/office/spreadsheetml/2017/richdata2" ref="A2:B642">
    <sortCondition ref="A1:A642"/>
  </sortState>
  <tableColumns count="2">
    <tableColumn id="1" xr3:uid="{CAFF9E68-690F-42BC-A909-8CF61E30151D}" uniqueName="1" name="DATA ENVIO" queryTableFieldId="1" dataDxfId="29"/>
    <tableColumn id="2" xr3:uid="{A8425FD9-01E9-463E-8003-E6CC9750B80A}" uniqueName="2" name="GESTORES" queryTableFieldId="2" dataDxfId="28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2" totalsRowShown="0" headerRowDxfId="64" dataDxfId="6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2"/>
    <tableColumn id="2" xr3:uid="{DD28B753-F765-49F4-8BD3-E6E093869FFC}" name="VISTORIADOR" dataDxfId="61"/>
    <tableColumn id="3" xr3:uid="{4D995B83-CEA9-4705-B6E6-E31CD66B4E6A}" name="MÊS" dataDxfId="6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59" dataDxfId="58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27"/>
    <tableColumn id="2" xr3:uid="{4B97C6B1-E42D-4EA8-9874-23F1543CE282}" uniqueName="2" name="CLUSTER" queryTableFieldId="2" dataDxfId="26"/>
    <tableColumn id="3" xr3:uid="{1A9A9456-BD32-4F60-829F-527C891B9EBC}" uniqueName="3" name="TIPO_ID" queryTableFieldId="3" dataDxfId="25"/>
    <tableColumn id="4" xr3:uid="{E34BE1E5-70A4-422F-8050-ED63A832E7A6}" uniqueName="4" name="ESTEIRA" queryTableFieldId="4" dataDxfId="24"/>
    <tableColumn id="5" xr3:uid="{F3E22555-9649-4DE6-9C70-1C448928A876}" uniqueName="5" name="dat_LibComercial" queryTableFieldId="5" dataDxfId="23"/>
    <tableColumn id="6" xr3:uid="{EED916BB-04B4-435D-A5A5-8935067E4963}" uniqueName="6" name="AT" queryTableFieldId="6" dataDxfId="22"/>
    <tableColumn id="7" xr3:uid="{9739FD16-0799-4FAD-8E8F-56E5C49C58A0}" uniqueName="7" name="nom_End" queryTableFieldId="7" dataDxfId="21"/>
    <tableColumn id="8" xr3:uid="{45D210AA-CDAB-4BD0-A410-529B44D4A7A3}" uniqueName="8" name="val_Numero" queryTableFieldId="8" dataDxfId="20"/>
    <tableColumn id="9" xr3:uid="{7DED0E59-EF39-4820-9756-787A649579AD}" uniqueName="9" name="CABO " queryTableFieldId="9" dataDxfId="19"/>
    <tableColumn id="10" xr3:uid="{964FB57C-E0E8-434E-B4C8-DEEEC8189090}" uniqueName="10" name="PRIMARIA" queryTableFieldId="10" dataDxfId="18"/>
    <tableColumn id="11" xr3:uid="{BD4F96C1-599F-45AD-9F78-0AC09265B3E8}" uniqueName="11" name="CONT" queryTableFieldId="11" dataDxfId="17"/>
    <tableColumn id="12" xr3:uid="{1ED40CE4-7C3D-4333-8682-915386844EDC}" uniqueName="12" name="LOCAL /ANDAR" queryTableFieldId="12" dataDxfId="16"/>
    <tableColumn id="13" xr3:uid="{B82DF3A3-E227-456F-A393-13C9CACF2038}" uniqueName="13" name="Data visita Gestor" queryTableFieldId="13" dataDxfId="15"/>
    <tableColumn id="14" xr3:uid="{838A7928-7E51-42BC-8556-0942668BB20C}" uniqueName="14" name="GESTOR" queryTableFieldId="14" dataDxfId="14"/>
    <tableColumn id="15" xr3:uid="{64C0949C-D94C-49FF-B36B-C1FD9C2F03D3}" uniqueName="15" name="Status" queryTableFieldId="15" dataDxfId="13"/>
    <tableColumn id="16" xr3:uid="{73658CC2-762E-45F6-B5A5-B1C0DE043A69}" uniqueName="16" name="Validação Gestão" queryTableFieldId="16" dataDxfId="12"/>
    <tableColumn id="17" xr3:uid="{DA16EA54-56A1-48FA-BFA1-81168698D3B9}" uniqueName="17" name="Formalizado" queryTableFieldId="17" dataDxfId="11"/>
    <tableColumn id="18" xr3:uid="{7CF6A7C5-DE53-43BF-87AC-4A7496EA863F}" uniqueName="18" name="Retorno Implantação" queryTableFieldId="18" dataDxfId="10"/>
    <tableColumn id="19" xr3:uid="{D4874677-3DBD-49EB-8622-54410B926826}" uniqueName="19" name="Validado" queryTableFieldId="19" dataDxfId="9"/>
    <tableColumn id="20" xr3:uid="{65B19EB8-3C27-4043-8713-F10E65E8DB32}" uniqueName="20" name="Pendente" queryTableFieldId="20" dataDxfId="8"/>
    <tableColumn id="21" xr3:uid="{1D4C8D38-89EE-47D0-B787-81EB5BA5FA9D}" uniqueName="21" name="Nok" queryTableFieldId="21" dataDxfId="7"/>
    <tableColumn id="22" xr3:uid="{20D3B788-E94D-4DD7-9E38-E095818A30B7}" uniqueName="22" name="Acesso Negado" queryTableFieldId="22" dataDxfId="6"/>
    <tableColumn id="23" xr3:uid="{CB85C210-BAF8-4BA5-B1EA-8FAC0E721810}" uniqueName="23" name="Ano" queryTableFieldId="23" dataDxfId="5"/>
    <tableColumn id="24" xr3:uid="{74136298-36CA-44B0-9732-7C8847A38137}" uniqueName="24" name="Semana" queryTableFieldId="24" dataDxfId="4"/>
    <tableColumn id="25" xr3:uid="{E81DA990-B217-4506-8CE2-1A2EC7720BEA}" uniqueName="25" name="Flag_Mês" queryTableFieldId="25" dataDxfId="3"/>
    <tableColumn id="26" xr3:uid="{AC5C2F2B-519A-4CDA-B47C-0DB33E1CDE93}" uniqueName="26" name="Flag_Dia" queryTableFieldId="26" dataDxfId="2"/>
    <tableColumn id="27" xr3:uid="{C37B48BB-B672-4E56-B3C3-4CA45E4E39FA}" uniqueName="27" name="Column27" queryTableFieldId="27" dataDxfId="1"/>
    <tableColumn id="28" xr3:uid="{12BF2D23-4F5C-4891-9D9B-214EEEFCB193}" uniqueName="28" name="MÊS" queryTableFieldId="28" dataDxfId="0">
      <calculatedColumnFormula>MONTH(M2)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57" dataDxfId="55" headerRowBorderDxfId="56" tableBorderDxfId="54" totalsRowBorderDxfId="53">
  <autoFilter ref="A1:E366" xr:uid="{BDBDA064-5BA7-4ACB-BCB4-F03D4D28D1CD}"/>
  <tableColumns count="5">
    <tableColumn id="1" xr3:uid="{63526D78-790B-4C8D-A09C-A28596EBEEB8}" name="DATA" dataDxfId="52"/>
    <tableColumn id="2" xr3:uid="{437CEC21-F0D6-4903-925F-AA7ECF07196B}" name="DIA_SEM" dataDxfId="51">
      <calculatedColumnFormula>UPPER(TEXT(A2,"DDD"))</calculatedColumnFormula>
    </tableColumn>
    <tableColumn id="3" xr3:uid="{66EFF1CF-2221-4DC1-BDAA-1989962C4478}" name="DU" dataDxfId="50"/>
    <tableColumn id="4" xr3:uid="{9E6E3B92-80CA-489C-98A6-F21D7B16F7AE}" name="MÊS" dataDxfId="49">
      <calculatedColumnFormula>MONTH(A2)</calculatedColumnFormula>
    </tableColumn>
    <tableColumn id="5" xr3:uid="{7FC10327-FB09-4F3E-98E2-268BB80641C3}" name="DU_ACUM" dataDxfId="48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83"/>
  <sheetViews>
    <sheetView showGridLines="0" tabSelected="1" workbookViewId="0">
      <selection sqref="A1:D78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47489</v>
      </c>
      <c r="B2" s="2">
        <v>46314</v>
      </c>
      <c r="C2" s="21" t="s">
        <v>3</v>
      </c>
      <c r="D2" s="21">
        <f>IFERROR(VLOOKUP(RIT_FUSIONS[[#This Row],[ID]],RIT_ACUM!A:A,1,0),"NOVO")</f>
        <v>47489</v>
      </c>
    </row>
    <row r="3" spans="1:4" hidden="1" x14ac:dyDescent="0.35">
      <c r="A3" s="1">
        <v>47476</v>
      </c>
      <c r="B3" s="2">
        <v>46314</v>
      </c>
      <c r="C3" s="21" t="s">
        <v>10</v>
      </c>
      <c r="D3" s="21">
        <f>IFERROR(VLOOKUP(RIT_FUSIONS[[#This Row],[ID]],RIT_ACUM!A:A,1,0),"NOVO")</f>
        <v>47476</v>
      </c>
    </row>
    <row r="4" spans="1:4" hidden="1" x14ac:dyDescent="0.35">
      <c r="A4" s="1">
        <v>47475</v>
      </c>
      <c r="B4" s="2">
        <v>46314</v>
      </c>
      <c r="C4" s="21" t="s">
        <v>10</v>
      </c>
      <c r="D4" s="21">
        <f>IFERROR(VLOOKUP(RIT_FUSIONS[[#This Row],[ID]],RIT_ACUM!A:A,1,0),"NOVO")</f>
        <v>47475</v>
      </c>
    </row>
    <row r="5" spans="1:4" hidden="1" x14ac:dyDescent="0.35">
      <c r="A5" s="1">
        <v>47470</v>
      </c>
      <c r="B5" s="2">
        <v>46314</v>
      </c>
      <c r="C5" s="21" t="s">
        <v>7</v>
      </c>
      <c r="D5" s="21">
        <f>IFERROR(VLOOKUP(RIT_FUSIONS[[#This Row],[ID]],RIT_ACUM!A:A,1,0),"NOVO")</f>
        <v>47470</v>
      </c>
    </row>
    <row r="6" spans="1:4" hidden="1" x14ac:dyDescent="0.35">
      <c r="A6" s="1">
        <v>47469</v>
      </c>
      <c r="B6" s="2">
        <v>46314</v>
      </c>
      <c r="C6" s="21" t="s">
        <v>22</v>
      </c>
      <c r="D6" s="21">
        <f>IFERROR(VLOOKUP(RIT_FUSIONS[[#This Row],[ID]],RIT_ACUM!A:A,1,0),"NOVO")</f>
        <v>47469</v>
      </c>
    </row>
    <row r="7" spans="1:4" hidden="1" x14ac:dyDescent="0.35">
      <c r="A7" s="1">
        <v>47468</v>
      </c>
      <c r="B7" s="2">
        <v>46314</v>
      </c>
      <c r="C7" s="21" t="s">
        <v>22</v>
      </c>
      <c r="D7" s="21">
        <f>IFERROR(VLOOKUP(RIT_FUSIONS[[#This Row],[ID]],RIT_ACUM!A:A,1,0),"NOVO")</f>
        <v>47468</v>
      </c>
    </row>
    <row r="8" spans="1:4" hidden="1" x14ac:dyDescent="0.35">
      <c r="A8" s="1">
        <v>47467</v>
      </c>
      <c r="B8" s="2">
        <v>46314</v>
      </c>
      <c r="C8" s="21" t="s">
        <v>9</v>
      </c>
      <c r="D8" s="21">
        <f>IFERROR(VLOOKUP(RIT_FUSIONS[[#This Row],[ID]],RIT_ACUM!A:A,1,0),"NOVO")</f>
        <v>47467</v>
      </c>
    </row>
    <row r="9" spans="1:4" hidden="1" x14ac:dyDescent="0.35">
      <c r="A9" s="1">
        <v>47466</v>
      </c>
      <c r="B9" s="2">
        <v>46314</v>
      </c>
      <c r="C9" s="21" t="s">
        <v>22</v>
      </c>
      <c r="D9" s="21">
        <f>IFERROR(VLOOKUP(RIT_FUSIONS[[#This Row],[ID]],RIT_ACUM!A:A,1,0),"NOVO")</f>
        <v>47466</v>
      </c>
    </row>
    <row r="10" spans="1:4" hidden="1" x14ac:dyDescent="0.35">
      <c r="A10" s="1">
        <v>47465</v>
      </c>
      <c r="B10" s="2">
        <v>46314</v>
      </c>
      <c r="C10" s="21" t="s">
        <v>9</v>
      </c>
      <c r="D10" s="21">
        <f>IFERROR(VLOOKUP(RIT_FUSIONS[[#This Row],[ID]],RIT_ACUM!A:A,1,0),"NOVO")</f>
        <v>47465</v>
      </c>
    </row>
    <row r="11" spans="1:4" hidden="1" x14ac:dyDescent="0.35">
      <c r="A11" s="1">
        <v>47464</v>
      </c>
      <c r="B11" s="2">
        <v>46314</v>
      </c>
      <c r="C11" s="21" t="s">
        <v>22</v>
      </c>
      <c r="D11" s="21">
        <f>IFERROR(VLOOKUP(RIT_FUSIONS[[#This Row],[ID]],RIT_ACUM!A:A,1,0),"NOVO")</f>
        <v>47464</v>
      </c>
    </row>
    <row r="12" spans="1:4" hidden="1" x14ac:dyDescent="0.35">
      <c r="A12" s="1">
        <v>47461</v>
      </c>
      <c r="B12" s="2">
        <v>46314</v>
      </c>
      <c r="C12" s="21" t="s">
        <v>3</v>
      </c>
      <c r="D12" s="21">
        <f>IFERROR(VLOOKUP(RIT_FUSIONS[[#This Row],[ID]],RIT_ACUM!A:A,1,0),"NOVO")</f>
        <v>47461</v>
      </c>
    </row>
    <row r="13" spans="1:4" hidden="1" x14ac:dyDescent="0.35">
      <c r="A13" s="1">
        <v>47460</v>
      </c>
      <c r="B13" s="2">
        <v>46314</v>
      </c>
      <c r="C13" s="21" t="s">
        <v>6</v>
      </c>
      <c r="D13" s="21">
        <f>IFERROR(VLOOKUP(RIT_FUSIONS[[#This Row],[ID]],RIT_ACUM!A:A,1,0),"NOVO")</f>
        <v>47460</v>
      </c>
    </row>
    <row r="14" spans="1:4" hidden="1" x14ac:dyDescent="0.35">
      <c r="A14" s="1">
        <v>47459</v>
      </c>
      <c r="B14" s="2">
        <v>46314</v>
      </c>
      <c r="C14" s="21" t="s">
        <v>6</v>
      </c>
      <c r="D14" s="21">
        <f>IFERROR(VLOOKUP(RIT_FUSIONS[[#This Row],[ID]],RIT_ACUM!A:A,1,0),"NOVO")</f>
        <v>47459</v>
      </c>
    </row>
    <row r="15" spans="1:4" hidden="1" x14ac:dyDescent="0.35">
      <c r="A15" s="1">
        <v>47457</v>
      </c>
      <c r="B15" s="2">
        <v>46314</v>
      </c>
      <c r="C15" s="21" t="s">
        <v>17</v>
      </c>
      <c r="D15" s="21">
        <f>IFERROR(VLOOKUP(RIT_FUSIONS[[#This Row],[ID]],RIT_ACUM!A:A,1,0),"NOVO")</f>
        <v>47457</v>
      </c>
    </row>
    <row r="16" spans="1:4" hidden="1" x14ac:dyDescent="0.35">
      <c r="A16" s="1">
        <v>47456</v>
      </c>
      <c r="B16" s="2">
        <v>46314</v>
      </c>
      <c r="C16" s="21" t="s">
        <v>17</v>
      </c>
      <c r="D16" s="21">
        <f>IFERROR(VLOOKUP(RIT_FUSIONS[[#This Row],[ID]],RIT_ACUM!A:A,1,0),"NOVO")</f>
        <v>47456</v>
      </c>
    </row>
    <row r="17" spans="1:4" hidden="1" x14ac:dyDescent="0.35">
      <c r="A17" s="1">
        <v>47455</v>
      </c>
      <c r="B17" s="2">
        <v>46314</v>
      </c>
      <c r="C17" s="21" t="s">
        <v>17</v>
      </c>
      <c r="D17" s="21">
        <f>IFERROR(VLOOKUP(RIT_FUSIONS[[#This Row],[ID]],RIT_ACUM!A:A,1,0),"NOVO")</f>
        <v>47455</v>
      </c>
    </row>
    <row r="18" spans="1:4" hidden="1" x14ac:dyDescent="0.35">
      <c r="A18" s="1">
        <v>47453</v>
      </c>
      <c r="B18" s="2">
        <v>46314</v>
      </c>
      <c r="C18" s="21" t="s">
        <v>3</v>
      </c>
      <c r="D18" s="21">
        <f>IFERROR(VLOOKUP(RIT_FUSIONS[[#This Row],[ID]],RIT_ACUM!A:A,1,0),"NOVO")</f>
        <v>47453</v>
      </c>
    </row>
    <row r="19" spans="1:4" hidden="1" x14ac:dyDescent="0.35">
      <c r="A19" s="1">
        <v>47452</v>
      </c>
      <c r="B19" s="2">
        <v>46314</v>
      </c>
      <c r="C19" s="21" t="s">
        <v>3</v>
      </c>
      <c r="D19" s="21">
        <f>IFERROR(VLOOKUP(RIT_FUSIONS[[#This Row],[ID]],RIT_ACUM!A:A,1,0),"NOVO")</f>
        <v>47452</v>
      </c>
    </row>
    <row r="20" spans="1:4" hidden="1" x14ac:dyDescent="0.35">
      <c r="A20" s="1">
        <v>47451</v>
      </c>
      <c r="B20" s="2">
        <v>46314</v>
      </c>
      <c r="C20" s="21" t="s">
        <v>9</v>
      </c>
      <c r="D20" s="21">
        <f>IFERROR(VLOOKUP(RIT_FUSIONS[[#This Row],[ID]],RIT_ACUM!A:A,1,0),"NOVO")</f>
        <v>47451</v>
      </c>
    </row>
    <row r="21" spans="1:4" hidden="1" x14ac:dyDescent="0.35">
      <c r="A21" s="1">
        <v>47448</v>
      </c>
      <c r="B21" s="2">
        <v>46314</v>
      </c>
      <c r="C21" s="21" t="s">
        <v>5</v>
      </c>
      <c r="D21" s="21">
        <f>IFERROR(VLOOKUP(RIT_FUSIONS[[#This Row],[ID]],RIT_ACUM!A:A,1,0),"NOVO")</f>
        <v>47448</v>
      </c>
    </row>
    <row r="22" spans="1:4" hidden="1" x14ac:dyDescent="0.35">
      <c r="A22" s="1">
        <v>47445</v>
      </c>
      <c r="B22" s="2">
        <v>46314</v>
      </c>
      <c r="C22" s="21" t="s">
        <v>9</v>
      </c>
      <c r="D22" s="21">
        <f>IFERROR(VLOOKUP(RIT_FUSIONS[[#This Row],[ID]],RIT_ACUM!A:A,1,0),"NOVO")</f>
        <v>47445</v>
      </c>
    </row>
    <row r="23" spans="1:4" hidden="1" x14ac:dyDescent="0.35">
      <c r="A23" s="1">
        <v>47424</v>
      </c>
      <c r="B23" s="2">
        <v>46312</v>
      </c>
      <c r="C23" s="21" t="s">
        <v>10</v>
      </c>
      <c r="D23" s="21">
        <f>IFERROR(VLOOKUP(RIT_FUSIONS[[#This Row],[ID]],RIT_ACUM!A:A,1,0),"NOVO")</f>
        <v>47424</v>
      </c>
    </row>
    <row r="24" spans="1:4" hidden="1" x14ac:dyDescent="0.35">
      <c r="A24" s="1">
        <v>47417</v>
      </c>
      <c r="B24" s="2">
        <v>46312</v>
      </c>
      <c r="C24" s="21" t="s">
        <v>10</v>
      </c>
      <c r="D24" s="21">
        <f>IFERROR(VLOOKUP(RIT_FUSIONS[[#This Row],[ID]],RIT_ACUM!A:A,1,0),"NOVO")</f>
        <v>47417</v>
      </c>
    </row>
    <row r="25" spans="1:4" hidden="1" x14ac:dyDescent="0.35">
      <c r="A25" s="1">
        <v>47414</v>
      </c>
      <c r="B25" s="2">
        <v>46312</v>
      </c>
      <c r="C25" s="21" t="s">
        <v>17</v>
      </c>
      <c r="D25" s="21">
        <f>IFERROR(VLOOKUP(RIT_FUSIONS[[#This Row],[ID]],RIT_ACUM!A:A,1,0),"NOVO")</f>
        <v>47414</v>
      </c>
    </row>
    <row r="26" spans="1:4" hidden="1" x14ac:dyDescent="0.35">
      <c r="A26" s="1">
        <v>47413</v>
      </c>
      <c r="B26" s="2">
        <v>46312</v>
      </c>
      <c r="C26" s="21" t="s">
        <v>17</v>
      </c>
      <c r="D26" s="21">
        <f>IFERROR(VLOOKUP(RIT_FUSIONS[[#This Row],[ID]],RIT_ACUM!A:A,1,0),"NOVO")</f>
        <v>47413</v>
      </c>
    </row>
    <row r="27" spans="1:4" hidden="1" x14ac:dyDescent="0.35">
      <c r="A27" s="1">
        <v>47412</v>
      </c>
      <c r="B27" s="2">
        <v>46312</v>
      </c>
      <c r="C27" s="21" t="s">
        <v>17</v>
      </c>
      <c r="D27" s="21">
        <f>IFERROR(VLOOKUP(RIT_FUSIONS[[#This Row],[ID]],RIT_ACUM!A:A,1,0),"NOVO")</f>
        <v>47412</v>
      </c>
    </row>
    <row r="28" spans="1:4" hidden="1" x14ac:dyDescent="0.35">
      <c r="A28" s="1">
        <v>47407</v>
      </c>
      <c r="B28" s="2">
        <v>46312</v>
      </c>
      <c r="C28" s="21" t="s">
        <v>10</v>
      </c>
      <c r="D28" s="21">
        <f>IFERROR(VLOOKUP(RIT_FUSIONS[[#This Row],[ID]],RIT_ACUM!A:A,1,0),"NOVO")</f>
        <v>47407</v>
      </c>
    </row>
    <row r="29" spans="1:4" hidden="1" x14ac:dyDescent="0.35">
      <c r="A29" s="1">
        <v>47405</v>
      </c>
      <c r="B29" s="2">
        <v>46311</v>
      </c>
      <c r="C29" s="21" t="s">
        <v>15</v>
      </c>
      <c r="D29" s="21">
        <f>IFERROR(VLOOKUP(RIT_FUSIONS[[#This Row],[ID]],RIT_ACUM!A:A,1,0),"NOVO")</f>
        <v>47405</v>
      </c>
    </row>
    <row r="30" spans="1:4" hidden="1" x14ac:dyDescent="0.35">
      <c r="A30" s="1">
        <v>47404</v>
      </c>
      <c r="B30" s="2">
        <v>46311</v>
      </c>
      <c r="C30" s="21" t="s">
        <v>15</v>
      </c>
      <c r="D30" s="21">
        <f>IFERROR(VLOOKUP(RIT_FUSIONS[[#This Row],[ID]],RIT_ACUM!A:A,1,0),"NOVO")</f>
        <v>47404</v>
      </c>
    </row>
    <row r="31" spans="1:4" hidden="1" x14ac:dyDescent="0.35">
      <c r="A31" s="1">
        <v>47403</v>
      </c>
      <c r="B31" s="2">
        <v>46311</v>
      </c>
      <c r="C31" s="21" t="s">
        <v>15</v>
      </c>
      <c r="D31" s="21">
        <f>IFERROR(VLOOKUP(RIT_FUSIONS[[#This Row],[ID]],RIT_ACUM!A:A,1,0),"NOVO")</f>
        <v>47403</v>
      </c>
    </row>
    <row r="32" spans="1:4" hidden="1" x14ac:dyDescent="0.35">
      <c r="A32" s="1">
        <v>47402</v>
      </c>
      <c r="B32" s="2">
        <v>46311</v>
      </c>
      <c r="C32" s="21" t="s">
        <v>10</v>
      </c>
      <c r="D32" s="21">
        <f>IFERROR(VLOOKUP(RIT_FUSIONS[[#This Row],[ID]],RIT_ACUM!A:A,1,0),"NOVO")</f>
        <v>47402</v>
      </c>
    </row>
    <row r="33" spans="1:4" hidden="1" x14ac:dyDescent="0.35">
      <c r="A33" s="1">
        <v>47401</v>
      </c>
      <c r="B33" s="2">
        <v>46311</v>
      </c>
      <c r="C33" s="21" t="s">
        <v>9</v>
      </c>
      <c r="D33" s="21">
        <f>IFERROR(VLOOKUP(RIT_FUSIONS[[#This Row],[ID]],RIT_ACUM!A:A,1,0),"NOVO")</f>
        <v>47401</v>
      </c>
    </row>
    <row r="34" spans="1:4" hidden="1" x14ac:dyDescent="0.35">
      <c r="A34" s="1">
        <v>47398</v>
      </c>
      <c r="B34" s="2">
        <v>46311</v>
      </c>
      <c r="C34" s="21" t="s">
        <v>21</v>
      </c>
      <c r="D34" s="21">
        <f>IFERROR(VLOOKUP(RIT_FUSIONS[[#This Row],[ID]],RIT_ACUM!A:A,1,0),"NOVO")</f>
        <v>47398</v>
      </c>
    </row>
    <row r="35" spans="1:4" hidden="1" x14ac:dyDescent="0.35">
      <c r="A35" s="1">
        <v>47395</v>
      </c>
      <c r="B35" s="2">
        <v>46311</v>
      </c>
      <c r="C35" s="21" t="s">
        <v>9</v>
      </c>
      <c r="D35" s="21">
        <f>IFERROR(VLOOKUP(RIT_FUSIONS[[#This Row],[ID]],RIT_ACUM!A:A,1,0),"NOVO")</f>
        <v>47395</v>
      </c>
    </row>
    <row r="36" spans="1:4" hidden="1" x14ac:dyDescent="0.35">
      <c r="A36" s="1">
        <v>47394</v>
      </c>
      <c r="B36" s="2">
        <v>46311</v>
      </c>
      <c r="C36" s="21" t="s">
        <v>9</v>
      </c>
      <c r="D36" s="21">
        <f>IFERROR(VLOOKUP(RIT_FUSIONS[[#This Row],[ID]],RIT_ACUM!A:A,1,0),"NOVO")</f>
        <v>47394</v>
      </c>
    </row>
    <row r="37" spans="1:4" hidden="1" x14ac:dyDescent="0.35">
      <c r="A37" s="1">
        <v>47391</v>
      </c>
      <c r="B37" s="2">
        <v>46311</v>
      </c>
      <c r="C37" s="21" t="s">
        <v>22</v>
      </c>
      <c r="D37" s="21">
        <f>IFERROR(VLOOKUP(RIT_FUSIONS[[#This Row],[ID]],RIT_ACUM!A:A,1,0),"NOVO")</f>
        <v>47391</v>
      </c>
    </row>
    <row r="38" spans="1:4" hidden="1" x14ac:dyDescent="0.35">
      <c r="A38" s="1">
        <v>47390</v>
      </c>
      <c r="B38" s="2">
        <v>46311</v>
      </c>
      <c r="C38" s="21" t="s">
        <v>22</v>
      </c>
      <c r="D38" s="21">
        <f>IFERROR(VLOOKUP(RIT_FUSIONS[[#This Row],[ID]],RIT_ACUM!A:A,1,0),"NOVO")</f>
        <v>47390</v>
      </c>
    </row>
    <row r="39" spans="1:4" hidden="1" x14ac:dyDescent="0.35">
      <c r="A39" s="1">
        <v>47389</v>
      </c>
      <c r="B39" s="2">
        <v>46311</v>
      </c>
      <c r="C39" s="21" t="s">
        <v>22</v>
      </c>
      <c r="D39" s="21">
        <f>IFERROR(VLOOKUP(RIT_FUSIONS[[#This Row],[ID]],RIT_ACUM!A:A,1,0),"NOVO")</f>
        <v>47389</v>
      </c>
    </row>
    <row r="40" spans="1:4" hidden="1" x14ac:dyDescent="0.35">
      <c r="A40" s="1">
        <v>47387</v>
      </c>
      <c r="B40" s="2">
        <v>46311</v>
      </c>
      <c r="C40" s="21" t="s">
        <v>22</v>
      </c>
      <c r="D40" s="21">
        <f>IFERROR(VLOOKUP(RIT_FUSIONS[[#This Row],[ID]],RIT_ACUM!A:A,1,0),"NOVO")</f>
        <v>47387</v>
      </c>
    </row>
    <row r="41" spans="1:4" hidden="1" x14ac:dyDescent="0.35">
      <c r="A41" s="1">
        <v>47386</v>
      </c>
      <c r="B41" s="2">
        <v>46311</v>
      </c>
      <c r="C41" s="21" t="s">
        <v>22</v>
      </c>
      <c r="D41" s="21">
        <f>IFERROR(VLOOKUP(RIT_FUSIONS[[#This Row],[ID]],RIT_ACUM!A:A,1,0),"NOVO")</f>
        <v>47386</v>
      </c>
    </row>
    <row r="42" spans="1:4" hidden="1" x14ac:dyDescent="0.35">
      <c r="A42" s="1">
        <v>47384</v>
      </c>
      <c r="B42" s="2">
        <v>46311</v>
      </c>
      <c r="C42" s="21" t="s">
        <v>22</v>
      </c>
      <c r="D42" s="21">
        <f>IFERROR(VLOOKUP(RIT_FUSIONS[[#This Row],[ID]],RIT_ACUM!A:A,1,0),"NOVO")</f>
        <v>47384</v>
      </c>
    </row>
    <row r="43" spans="1:4" hidden="1" x14ac:dyDescent="0.35">
      <c r="A43" s="1">
        <v>47382</v>
      </c>
      <c r="B43" s="2">
        <v>46311</v>
      </c>
      <c r="C43" s="21" t="s">
        <v>22</v>
      </c>
      <c r="D43" s="21">
        <f>IFERROR(VLOOKUP(RIT_FUSIONS[[#This Row],[ID]],RIT_ACUM!A:A,1,0),"NOVO")</f>
        <v>47382</v>
      </c>
    </row>
    <row r="44" spans="1:4" hidden="1" x14ac:dyDescent="0.35">
      <c r="A44" s="1">
        <v>47381</v>
      </c>
      <c r="B44" s="2">
        <v>46311</v>
      </c>
      <c r="C44" s="21" t="s">
        <v>22</v>
      </c>
      <c r="D44" s="21">
        <f>IFERROR(VLOOKUP(RIT_FUSIONS[[#This Row],[ID]],RIT_ACUM!A:A,1,0),"NOVO")</f>
        <v>47381</v>
      </c>
    </row>
    <row r="45" spans="1:4" hidden="1" x14ac:dyDescent="0.35">
      <c r="A45" s="1">
        <v>47379</v>
      </c>
      <c r="B45" s="2">
        <v>46311</v>
      </c>
      <c r="C45" s="21" t="s">
        <v>22</v>
      </c>
      <c r="D45" s="21">
        <f>IFERROR(VLOOKUP(RIT_FUSIONS[[#This Row],[ID]],RIT_ACUM!A:A,1,0),"NOVO")</f>
        <v>47379</v>
      </c>
    </row>
    <row r="46" spans="1:4" hidden="1" x14ac:dyDescent="0.35">
      <c r="A46" s="1">
        <v>47378</v>
      </c>
      <c r="B46" s="2">
        <v>46311</v>
      </c>
      <c r="C46" s="21" t="s">
        <v>22</v>
      </c>
      <c r="D46" s="21">
        <f>IFERROR(VLOOKUP(RIT_FUSIONS[[#This Row],[ID]],RIT_ACUM!A:A,1,0),"NOVO")</f>
        <v>47378</v>
      </c>
    </row>
    <row r="47" spans="1:4" hidden="1" x14ac:dyDescent="0.35">
      <c r="A47" s="1">
        <v>47376</v>
      </c>
      <c r="B47" s="2">
        <v>46311</v>
      </c>
      <c r="C47" s="21" t="s">
        <v>22</v>
      </c>
      <c r="D47" s="21">
        <f>IFERROR(VLOOKUP(RIT_FUSIONS[[#This Row],[ID]],RIT_ACUM!A:A,1,0),"NOVO")</f>
        <v>47376</v>
      </c>
    </row>
    <row r="48" spans="1:4" hidden="1" x14ac:dyDescent="0.35">
      <c r="A48" s="1">
        <v>47374</v>
      </c>
      <c r="B48" s="2">
        <v>46311</v>
      </c>
      <c r="C48" s="21" t="s">
        <v>22</v>
      </c>
      <c r="D48" s="21">
        <f>IFERROR(VLOOKUP(RIT_FUSIONS[[#This Row],[ID]],RIT_ACUM!A:A,1,0),"NOVO")</f>
        <v>47374</v>
      </c>
    </row>
    <row r="49" spans="1:4" hidden="1" x14ac:dyDescent="0.35">
      <c r="A49" s="1">
        <v>47372</v>
      </c>
      <c r="B49" s="2">
        <v>46311</v>
      </c>
      <c r="C49" s="21" t="s">
        <v>22</v>
      </c>
      <c r="D49" s="21">
        <f>IFERROR(VLOOKUP(RIT_FUSIONS[[#This Row],[ID]],RIT_ACUM!A:A,1,0),"NOVO")</f>
        <v>47372</v>
      </c>
    </row>
    <row r="50" spans="1:4" hidden="1" x14ac:dyDescent="0.35">
      <c r="A50" s="1">
        <v>47371</v>
      </c>
      <c r="B50" s="2">
        <v>46311</v>
      </c>
      <c r="C50" s="21" t="s">
        <v>22</v>
      </c>
      <c r="D50" s="21">
        <f>IFERROR(VLOOKUP(RIT_FUSIONS[[#This Row],[ID]],RIT_ACUM!A:A,1,0),"NOVO")</f>
        <v>47371</v>
      </c>
    </row>
    <row r="51" spans="1:4" hidden="1" x14ac:dyDescent="0.35">
      <c r="A51" s="1">
        <v>47365</v>
      </c>
      <c r="B51" s="2">
        <v>46311</v>
      </c>
      <c r="C51" s="21" t="s">
        <v>7</v>
      </c>
      <c r="D51" s="21">
        <f>IFERROR(VLOOKUP(RIT_FUSIONS[[#This Row],[ID]],RIT_ACUM!A:A,1,0),"NOVO")</f>
        <v>47365</v>
      </c>
    </row>
    <row r="52" spans="1:4" hidden="1" x14ac:dyDescent="0.35">
      <c r="A52" s="1">
        <v>47363</v>
      </c>
      <c r="B52" s="2">
        <v>46311</v>
      </c>
      <c r="C52" s="21" t="s">
        <v>7</v>
      </c>
      <c r="D52" s="21">
        <f>IFERROR(VLOOKUP(RIT_FUSIONS[[#This Row],[ID]],RIT_ACUM!A:A,1,0),"NOVO")</f>
        <v>47363</v>
      </c>
    </row>
    <row r="53" spans="1:4" hidden="1" x14ac:dyDescent="0.35">
      <c r="A53" s="1">
        <v>47360</v>
      </c>
      <c r="B53" s="2">
        <v>46311</v>
      </c>
      <c r="C53" s="21" t="s">
        <v>6</v>
      </c>
      <c r="D53" s="21">
        <f>IFERROR(VLOOKUP(RIT_FUSIONS[[#This Row],[ID]],RIT_ACUM!A:A,1,0),"NOVO")</f>
        <v>47360</v>
      </c>
    </row>
    <row r="54" spans="1:4" hidden="1" x14ac:dyDescent="0.35">
      <c r="A54" s="1">
        <v>47359</v>
      </c>
      <c r="B54" s="2">
        <v>46311</v>
      </c>
      <c r="C54" s="21" t="s">
        <v>6</v>
      </c>
      <c r="D54" s="21">
        <f>IFERROR(VLOOKUP(RIT_FUSIONS[[#This Row],[ID]],RIT_ACUM!A:A,1,0),"NOVO")</f>
        <v>47359</v>
      </c>
    </row>
    <row r="55" spans="1:4" hidden="1" x14ac:dyDescent="0.35">
      <c r="A55" s="1">
        <v>47354</v>
      </c>
      <c r="B55" s="2">
        <v>46311</v>
      </c>
      <c r="C55" s="21" t="s">
        <v>3</v>
      </c>
      <c r="D55" s="21">
        <f>IFERROR(VLOOKUP(RIT_FUSIONS[[#This Row],[ID]],RIT_ACUM!A:A,1,0),"NOVO")</f>
        <v>47354</v>
      </c>
    </row>
    <row r="56" spans="1:4" hidden="1" x14ac:dyDescent="0.35">
      <c r="A56" s="1">
        <v>47352</v>
      </c>
      <c r="B56" s="2">
        <v>46311</v>
      </c>
      <c r="C56" s="21" t="s">
        <v>3</v>
      </c>
      <c r="D56" s="21">
        <f>IFERROR(VLOOKUP(RIT_FUSIONS[[#This Row],[ID]],RIT_ACUM!A:A,1,0),"NOVO")</f>
        <v>47352</v>
      </c>
    </row>
    <row r="57" spans="1:4" hidden="1" x14ac:dyDescent="0.35">
      <c r="A57" s="1">
        <v>47350</v>
      </c>
      <c r="B57" s="2">
        <v>46311</v>
      </c>
      <c r="C57" s="21" t="s">
        <v>21</v>
      </c>
      <c r="D57" s="21">
        <f>IFERROR(VLOOKUP(RIT_FUSIONS[[#This Row],[ID]],RIT_ACUM!A:A,1,0),"NOVO")</f>
        <v>47350</v>
      </c>
    </row>
    <row r="58" spans="1:4" hidden="1" x14ac:dyDescent="0.35">
      <c r="A58" s="1">
        <v>47349</v>
      </c>
      <c r="B58" s="2">
        <v>46310</v>
      </c>
      <c r="C58" s="21" t="s">
        <v>11</v>
      </c>
      <c r="D58" s="21">
        <f>IFERROR(VLOOKUP(RIT_FUSIONS[[#This Row],[ID]],RIT_ACUM!A:A,1,0),"NOVO")</f>
        <v>47349</v>
      </c>
    </row>
    <row r="59" spans="1:4" hidden="1" x14ac:dyDescent="0.35">
      <c r="A59" s="1">
        <v>47348</v>
      </c>
      <c r="B59" s="2">
        <v>46311</v>
      </c>
      <c r="C59" s="21" t="s">
        <v>21</v>
      </c>
      <c r="D59" s="21">
        <f>IFERROR(VLOOKUP(RIT_FUSIONS[[#This Row],[ID]],RIT_ACUM!A:A,1,0),"NOVO")</f>
        <v>47348</v>
      </c>
    </row>
    <row r="60" spans="1:4" hidden="1" x14ac:dyDescent="0.35">
      <c r="A60" s="1">
        <v>47346</v>
      </c>
      <c r="B60" s="2">
        <v>46311</v>
      </c>
      <c r="C60" s="21" t="s">
        <v>9</v>
      </c>
      <c r="D60" s="21">
        <f>IFERROR(VLOOKUP(RIT_FUSIONS[[#This Row],[ID]],RIT_ACUM!A:A,1,0),"NOVO")</f>
        <v>47346</v>
      </c>
    </row>
    <row r="61" spans="1:4" hidden="1" x14ac:dyDescent="0.35">
      <c r="A61" s="1">
        <v>47345</v>
      </c>
      <c r="B61" s="2">
        <v>46311</v>
      </c>
      <c r="C61" s="21" t="s">
        <v>9</v>
      </c>
      <c r="D61" s="21">
        <f>IFERROR(VLOOKUP(RIT_FUSIONS[[#This Row],[ID]],RIT_ACUM!A:A,1,0),"NOVO")</f>
        <v>47345</v>
      </c>
    </row>
    <row r="62" spans="1:4" hidden="1" x14ac:dyDescent="0.35">
      <c r="A62" s="1">
        <v>47343</v>
      </c>
      <c r="B62" s="2">
        <v>46311</v>
      </c>
      <c r="C62" s="21" t="s">
        <v>9</v>
      </c>
      <c r="D62" s="21">
        <f>IFERROR(VLOOKUP(RIT_FUSIONS[[#This Row],[ID]],RIT_ACUM!A:A,1,0),"NOVO")</f>
        <v>47343</v>
      </c>
    </row>
    <row r="63" spans="1:4" hidden="1" x14ac:dyDescent="0.35">
      <c r="A63" s="1">
        <v>47340</v>
      </c>
      <c r="B63" s="2">
        <v>46311</v>
      </c>
      <c r="C63" s="21" t="s">
        <v>19</v>
      </c>
      <c r="D63" s="21">
        <f>IFERROR(VLOOKUP(RIT_FUSIONS[[#This Row],[ID]],RIT_ACUM!A:A,1,0),"NOVO")</f>
        <v>47340</v>
      </c>
    </row>
    <row r="64" spans="1:4" hidden="1" x14ac:dyDescent="0.35">
      <c r="A64" s="1">
        <v>47339</v>
      </c>
      <c r="B64" s="2">
        <v>46310</v>
      </c>
      <c r="C64" s="21" t="s">
        <v>21</v>
      </c>
      <c r="D64" s="21">
        <f>IFERROR(VLOOKUP(RIT_FUSIONS[[#This Row],[ID]],RIT_ACUM!A:A,1,0),"NOVO")</f>
        <v>47339</v>
      </c>
    </row>
    <row r="65" spans="1:4" hidden="1" x14ac:dyDescent="0.35">
      <c r="A65" s="1">
        <v>47338</v>
      </c>
      <c r="B65" s="2">
        <v>46310</v>
      </c>
      <c r="C65" s="21" t="s">
        <v>21</v>
      </c>
      <c r="D65" s="21">
        <f>IFERROR(VLOOKUP(RIT_FUSIONS[[#This Row],[ID]],RIT_ACUM!A:A,1,0),"NOVO")</f>
        <v>47338</v>
      </c>
    </row>
    <row r="66" spans="1:4" hidden="1" x14ac:dyDescent="0.35">
      <c r="A66" s="1">
        <v>47337</v>
      </c>
      <c r="B66" s="2">
        <v>46310</v>
      </c>
      <c r="C66" s="21" t="s">
        <v>21</v>
      </c>
      <c r="D66" s="21">
        <f>IFERROR(VLOOKUP(RIT_FUSIONS[[#This Row],[ID]],RIT_ACUM!A:A,1,0),"NOVO")</f>
        <v>47337</v>
      </c>
    </row>
    <row r="67" spans="1:4" hidden="1" x14ac:dyDescent="0.35">
      <c r="A67" s="1">
        <v>47336</v>
      </c>
      <c r="B67" s="2">
        <v>46310</v>
      </c>
      <c r="C67" s="21" t="s">
        <v>10</v>
      </c>
      <c r="D67" s="21">
        <f>IFERROR(VLOOKUP(RIT_FUSIONS[[#This Row],[ID]],RIT_ACUM!A:A,1,0),"NOVO")</f>
        <v>47336</v>
      </c>
    </row>
    <row r="68" spans="1:4" hidden="1" x14ac:dyDescent="0.35">
      <c r="A68" s="1">
        <v>47335</v>
      </c>
      <c r="B68" s="2">
        <v>46310</v>
      </c>
      <c r="C68" s="21" t="s">
        <v>10</v>
      </c>
      <c r="D68" s="21">
        <f>IFERROR(VLOOKUP(RIT_FUSIONS[[#This Row],[ID]],RIT_ACUM!A:A,1,0),"NOVO")</f>
        <v>47335</v>
      </c>
    </row>
    <row r="69" spans="1:4" hidden="1" x14ac:dyDescent="0.35">
      <c r="A69" s="1">
        <v>47332</v>
      </c>
      <c r="B69" s="2">
        <v>46310</v>
      </c>
      <c r="C69" s="21" t="s">
        <v>103</v>
      </c>
      <c r="D69" s="21">
        <f>IFERROR(VLOOKUP(RIT_FUSIONS[[#This Row],[ID]],RIT_ACUM!A:A,1,0),"NOVO")</f>
        <v>47332</v>
      </c>
    </row>
    <row r="70" spans="1:4" hidden="1" x14ac:dyDescent="0.35">
      <c r="A70" s="1">
        <v>47331</v>
      </c>
      <c r="B70" s="2">
        <v>46310</v>
      </c>
      <c r="C70" s="21" t="s">
        <v>103</v>
      </c>
      <c r="D70" s="21">
        <f>IFERROR(VLOOKUP(RIT_FUSIONS[[#This Row],[ID]],RIT_ACUM!A:A,1,0),"NOVO")</f>
        <v>47331</v>
      </c>
    </row>
    <row r="71" spans="1:4" hidden="1" x14ac:dyDescent="0.35">
      <c r="A71" s="1">
        <v>47328</v>
      </c>
      <c r="B71" s="2">
        <v>46310</v>
      </c>
      <c r="C71" s="21" t="s">
        <v>9</v>
      </c>
      <c r="D71" s="21">
        <f>IFERROR(VLOOKUP(RIT_FUSIONS[[#This Row],[ID]],RIT_ACUM!A:A,1,0),"NOVO")</f>
        <v>47328</v>
      </c>
    </row>
    <row r="72" spans="1:4" hidden="1" x14ac:dyDescent="0.35">
      <c r="A72" s="1">
        <v>47319</v>
      </c>
      <c r="B72" s="2">
        <v>46310</v>
      </c>
      <c r="C72" s="21" t="s">
        <v>17</v>
      </c>
      <c r="D72" s="21">
        <f>IFERROR(VLOOKUP(RIT_FUSIONS[[#This Row],[ID]],RIT_ACUM!A:A,1,0),"NOVO")</f>
        <v>47319</v>
      </c>
    </row>
    <row r="73" spans="1:4" hidden="1" x14ac:dyDescent="0.35">
      <c r="A73" s="1">
        <v>47318</v>
      </c>
      <c r="B73" s="2">
        <v>46310</v>
      </c>
      <c r="C73" s="21" t="s">
        <v>17</v>
      </c>
      <c r="D73" s="21">
        <f>IFERROR(VLOOKUP(RIT_FUSIONS[[#This Row],[ID]],RIT_ACUM!A:A,1,0),"NOVO")</f>
        <v>47318</v>
      </c>
    </row>
    <row r="74" spans="1:4" hidden="1" x14ac:dyDescent="0.35">
      <c r="A74" s="1">
        <v>47315</v>
      </c>
      <c r="B74" s="2">
        <v>46310</v>
      </c>
      <c r="C74" s="21" t="s">
        <v>9</v>
      </c>
      <c r="D74" s="21">
        <f>IFERROR(VLOOKUP(RIT_FUSIONS[[#This Row],[ID]],RIT_ACUM!A:A,1,0),"NOVO")</f>
        <v>47315</v>
      </c>
    </row>
    <row r="75" spans="1:4" hidden="1" x14ac:dyDescent="0.35">
      <c r="A75" s="1">
        <v>47312</v>
      </c>
      <c r="B75" s="2">
        <v>46310</v>
      </c>
      <c r="C75" s="21" t="s">
        <v>7</v>
      </c>
      <c r="D75" s="21">
        <f>IFERROR(VLOOKUP(RIT_FUSIONS[[#This Row],[ID]],RIT_ACUM!A:A,1,0),"NOVO")</f>
        <v>47312</v>
      </c>
    </row>
    <row r="76" spans="1:4" hidden="1" x14ac:dyDescent="0.35">
      <c r="A76" s="1">
        <v>47311</v>
      </c>
      <c r="B76" s="2">
        <v>46310</v>
      </c>
      <c r="C76" s="21" t="s">
        <v>9</v>
      </c>
      <c r="D76" s="21">
        <f>IFERROR(VLOOKUP(RIT_FUSIONS[[#This Row],[ID]],RIT_ACUM!A:A,1,0),"NOVO")</f>
        <v>47311</v>
      </c>
    </row>
    <row r="77" spans="1:4" hidden="1" x14ac:dyDescent="0.35">
      <c r="A77" s="1">
        <v>47310</v>
      </c>
      <c r="B77" s="2">
        <v>46310</v>
      </c>
      <c r="C77" s="21" t="s">
        <v>9</v>
      </c>
      <c r="D77" s="21">
        <f>IFERROR(VLOOKUP(RIT_FUSIONS[[#This Row],[ID]],RIT_ACUM!A:A,1,0),"NOVO")</f>
        <v>47310</v>
      </c>
    </row>
    <row r="78" spans="1:4" hidden="1" x14ac:dyDescent="0.35">
      <c r="A78" s="1">
        <v>47309</v>
      </c>
      <c r="B78" s="2">
        <v>46310</v>
      </c>
      <c r="C78" s="21" t="s">
        <v>9</v>
      </c>
      <c r="D78" s="21">
        <f>IFERROR(VLOOKUP(RIT_FUSIONS[[#This Row],[ID]],RIT_ACUM!A:A,1,0),"NOVO")</f>
        <v>47309</v>
      </c>
    </row>
    <row r="79" spans="1:4" hidden="1" x14ac:dyDescent="0.35">
      <c r="A79" s="1">
        <v>47308</v>
      </c>
      <c r="B79" s="2">
        <v>46310</v>
      </c>
      <c r="C79" s="21" t="s">
        <v>9</v>
      </c>
      <c r="D79" s="21">
        <f>IFERROR(VLOOKUP(RIT_FUSIONS[[#This Row],[ID]],RIT_ACUM!A:A,1,0),"NOVO")</f>
        <v>47308</v>
      </c>
    </row>
    <row r="80" spans="1:4" hidden="1" x14ac:dyDescent="0.35">
      <c r="A80" s="1">
        <v>47306</v>
      </c>
      <c r="B80" s="2">
        <v>46310</v>
      </c>
      <c r="C80" s="21" t="s">
        <v>9</v>
      </c>
      <c r="D80" s="21">
        <f>IFERROR(VLOOKUP(RIT_FUSIONS[[#This Row],[ID]],RIT_ACUM!A:A,1,0),"NOVO")</f>
        <v>47306</v>
      </c>
    </row>
    <row r="81" spans="1:4" hidden="1" x14ac:dyDescent="0.35">
      <c r="A81" s="1">
        <v>47305</v>
      </c>
      <c r="B81" s="2">
        <v>46310</v>
      </c>
      <c r="C81" s="21" t="s">
        <v>9</v>
      </c>
      <c r="D81" s="21">
        <f>IFERROR(VLOOKUP(RIT_FUSIONS[[#This Row],[ID]],RIT_ACUM!A:A,1,0),"NOVO")</f>
        <v>47305</v>
      </c>
    </row>
    <row r="82" spans="1:4" hidden="1" x14ac:dyDescent="0.35">
      <c r="A82" s="1">
        <v>47304</v>
      </c>
      <c r="B82" s="2">
        <v>46310</v>
      </c>
      <c r="C82" s="21" t="s">
        <v>3</v>
      </c>
      <c r="D82" s="21">
        <f>IFERROR(VLOOKUP(RIT_FUSIONS[[#This Row],[ID]],RIT_ACUM!A:A,1,0),"NOVO")</f>
        <v>47304</v>
      </c>
    </row>
    <row r="83" spans="1:4" hidden="1" x14ac:dyDescent="0.35">
      <c r="A83" s="1">
        <v>47303</v>
      </c>
      <c r="B83" s="2">
        <v>46310</v>
      </c>
      <c r="C83" s="21" t="s">
        <v>3</v>
      </c>
      <c r="D83" s="21">
        <f>IFERROR(VLOOKUP(RIT_FUSIONS[[#This Row],[ID]],RIT_ACUM!A:A,1,0),"NOVO")</f>
        <v>47303</v>
      </c>
    </row>
    <row r="84" spans="1:4" hidden="1" x14ac:dyDescent="0.35">
      <c r="A84" s="1">
        <v>47299</v>
      </c>
      <c r="B84" s="2">
        <v>46310</v>
      </c>
      <c r="C84" s="21" t="s">
        <v>9</v>
      </c>
      <c r="D84" s="21">
        <f>IFERROR(VLOOKUP(RIT_FUSIONS[[#This Row],[ID]],RIT_ACUM!A:A,1,0),"NOVO")</f>
        <v>47299</v>
      </c>
    </row>
    <row r="85" spans="1:4" hidden="1" x14ac:dyDescent="0.35">
      <c r="A85" s="1">
        <v>47298</v>
      </c>
      <c r="B85" s="2">
        <v>46310</v>
      </c>
      <c r="C85" s="21" t="s">
        <v>19</v>
      </c>
      <c r="D85" s="21">
        <f>IFERROR(VLOOKUP(RIT_FUSIONS[[#This Row],[ID]],RIT_ACUM!A:A,1,0),"NOVO")</f>
        <v>47298</v>
      </c>
    </row>
    <row r="86" spans="1:4" hidden="1" x14ac:dyDescent="0.35">
      <c r="A86" s="1">
        <v>47297</v>
      </c>
      <c r="B86" s="2">
        <v>46310</v>
      </c>
      <c r="C86" s="21" t="s">
        <v>19</v>
      </c>
      <c r="D86" s="21">
        <f>IFERROR(VLOOKUP(RIT_FUSIONS[[#This Row],[ID]],RIT_ACUM!A:A,1,0),"NOVO")</f>
        <v>47297</v>
      </c>
    </row>
    <row r="87" spans="1:4" hidden="1" x14ac:dyDescent="0.35">
      <c r="A87" s="1">
        <v>47294</v>
      </c>
      <c r="B87" s="2">
        <v>46310</v>
      </c>
      <c r="C87" s="21" t="s">
        <v>9</v>
      </c>
      <c r="D87" s="21">
        <f>IFERROR(VLOOKUP(RIT_FUSIONS[[#This Row],[ID]],RIT_ACUM!A:A,1,0),"NOVO")</f>
        <v>47294</v>
      </c>
    </row>
    <row r="88" spans="1:4" hidden="1" x14ac:dyDescent="0.35">
      <c r="A88" s="1">
        <v>47293</v>
      </c>
      <c r="B88" s="2">
        <v>46310</v>
      </c>
      <c r="C88" s="21" t="s">
        <v>21</v>
      </c>
      <c r="D88" s="21">
        <f>IFERROR(VLOOKUP(RIT_FUSIONS[[#This Row],[ID]],RIT_ACUM!A:A,1,0),"NOVO")</f>
        <v>47293</v>
      </c>
    </row>
    <row r="89" spans="1:4" hidden="1" x14ac:dyDescent="0.35">
      <c r="A89" s="1">
        <v>47292</v>
      </c>
      <c r="B89" s="2">
        <v>46310</v>
      </c>
      <c r="C89" s="21" t="s">
        <v>19</v>
      </c>
      <c r="D89" s="21">
        <f>IFERROR(VLOOKUP(RIT_FUSIONS[[#This Row],[ID]],RIT_ACUM!A:A,1,0),"NOVO")</f>
        <v>47292</v>
      </c>
    </row>
    <row r="90" spans="1:4" hidden="1" x14ac:dyDescent="0.35">
      <c r="A90" s="1">
        <v>47289</v>
      </c>
      <c r="B90" s="2">
        <v>46309</v>
      </c>
      <c r="C90" s="21" t="s">
        <v>3</v>
      </c>
      <c r="D90" s="21">
        <f>IFERROR(VLOOKUP(RIT_FUSIONS[[#This Row],[ID]],RIT_ACUM!A:A,1,0),"NOVO")</f>
        <v>47289</v>
      </c>
    </row>
    <row r="91" spans="1:4" hidden="1" x14ac:dyDescent="0.35">
      <c r="A91" s="1">
        <v>47281</v>
      </c>
      <c r="B91" s="2">
        <v>46309</v>
      </c>
      <c r="C91" s="21" t="s">
        <v>21</v>
      </c>
      <c r="D91" s="21">
        <f>IFERROR(VLOOKUP(RIT_FUSIONS[[#This Row],[ID]],RIT_ACUM!A:A,1,0),"NOVO")</f>
        <v>47281</v>
      </c>
    </row>
    <row r="92" spans="1:4" hidden="1" x14ac:dyDescent="0.35">
      <c r="A92" s="1">
        <v>47280</v>
      </c>
      <c r="B92" s="2">
        <v>46309</v>
      </c>
      <c r="C92" s="21" t="s">
        <v>21</v>
      </c>
      <c r="D92" s="21">
        <f>IFERROR(VLOOKUP(RIT_FUSIONS[[#This Row],[ID]],RIT_ACUM!A:A,1,0),"NOVO")</f>
        <v>47280</v>
      </c>
    </row>
    <row r="93" spans="1:4" hidden="1" x14ac:dyDescent="0.35">
      <c r="A93" s="1">
        <v>47277</v>
      </c>
      <c r="B93" s="2">
        <v>46309</v>
      </c>
      <c r="C93" s="21" t="s">
        <v>17</v>
      </c>
      <c r="D93" s="21">
        <f>IFERROR(VLOOKUP(RIT_FUSIONS[[#This Row],[ID]],RIT_ACUM!A:A,1,0),"NOVO")</f>
        <v>47277</v>
      </c>
    </row>
    <row r="94" spans="1:4" hidden="1" x14ac:dyDescent="0.35">
      <c r="A94" s="1">
        <v>47276</v>
      </c>
      <c r="B94" s="2">
        <v>46309</v>
      </c>
      <c r="C94" s="21" t="s">
        <v>17</v>
      </c>
      <c r="D94" s="21">
        <f>IFERROR(VLOOKUP(RIT_FUSIONS[[#This Row],[ID]],RIT_ACUM!A:A,1,0),"NOVO")</f>
        <v>47276</v>
      </c>
    </row>
    <row r="95" spans="1:4" hidden="1" x14ac:dyDescent="0.35">
      <c r="A95" s="1">
        <v>47275</v>
      </c>
      <c r="B95" s="2">
        <v>46309</v>
      </c>
      <c r="C95" s="21" t="s">
        <v>17</v>
      </c>
      <c r="D95" s="21">
        <f>IFERROR(VLOOKUP(RIT_FUSIONS[[#This Row],[ID]],RIT_ACUM!A:A,1,0),"NOVO")</f>
        <v>47275</v>
      </c>
    </row>
    <row r="96" spans="1:4" hidden="1" x14ac:dyDescent="0.35">
      <c r="A96" s="1">
        <v>47274</v>
      </c>
      <c r="B96" s="2">
        <v>46309</v>
      </c>
      <c r="C96" s="21" t="s">
        <v>7</v>
      </c>
      <c r="D96" s="21">
        <f>IFERROR(VLOOKUP(RIT_FUSIONS[[#This Row],[ID]],RIT_ACUM!A:A,1,0),"NOVO")</f>
        <v>47274</v>
      </c>
    </row>
    <row r="97" spans="1:4" hidden="1" x14ac:dyDescent="0.35">
      <c r="A97" s="1">
        <v>47273</v>
      </c>
      <c r="B97" s="2">
        <v>46309</v>
      </c>
      <c r="C97" s="21" t="s">
        <v>7</v>
      </c>
      <c r="D97" s="21">
        <f>IFERROR(VLOOKUP(RIT_FUSIONS[[#This Row],[ID]],RIT_ACUM!A:A,1,0),"NOVO")</f>
        <v>47273</v>
      </c>
    </row>
    <row r="98" spans="1:4" hidden="1" x14ac:dyDescent="0.35">
      <c r="A98" s="1">
        <v>47268</v>
      </c>
      <c r="B98" s="2">
        <v>46309</v>
      </c>
      <c r="C98" s="21" t="s">
        <v>6</v>
      </c>
      <c r="D98" s="21">
        <f>IFERROR(VLOOKUP(RIT_FUSIONS[[#This Row],[ID]],RIT_ACUM!A:A,1,0),"NOVO")</f>
        <v>47268</v>
      </c>
    </row>
    <row r="99" spans="1:4" hidden="1" x14ac:dyDescent="0.35">
      <c r="A99" s="1">
        <v>47267</v>
      </c>
      <c r="B99" s="2">
        <v>46309</v>
      </c>
      <c r="C99" s="21" t="s">
        <v>6</v>
      </c>
      <c r="D99" s="21">
        <f>IFERROR(VLOOKUP(RIT_FUSIONS[[#This Row],[ID]],RIT_ACUM!A:A,1,0),"NOVO")</f>
        <v>47267</v>
      </c>
    </row>
    <row r="100" spans="1:4" hidden="1" x14ac:dyDescent="0.35">
      <c r="A100" s="1">
        <v>47266</v>
      </c>
      <c r="B100" s="2">
        <v>46309</v>
      </c>
      <c r="C100" s="21" t="s">
        <v>21</v>
      </c>
      <c r="D100" s="21">
        <f>IFERROR(VLOOKUP(RIT_FUSIONS[[#This Row],[ID]],RIT_ACUM!A:A,1,0),"NOVO")</f>
        <v>47266</v>
      </c>
    </row>
    <row r="101" spans="1:4" hidden="1" x14ac:dyDescent="0.35">
      <c r="A101" s="1">
        <v>47265</v>
      </c>
      <c r="B101" s="2">
        <v>46309</v>
      </c>
      <c r="C101" s="21" t="s">
        <v>21</v>
      </c>
      <c r="D101" s="21">
        <f>IFERROR(VLOOKUP(RIT_FUSIONS[[#This Row],[ID]],RIT_ACUM!A:A,1,0),"NOVO")</f>
        <v>47265</v>
      </c>
    </row>
    <row r="102" spans="1:4" hidden="1" x14ac:dyDescent="0.35">
      <c r="A102" s="1">
        <v>47264</v>
      </c>
      <c r="B102" s="2">
        <v>46309</v>
      </c>
      <c r="C102" s="21" t="s">
        <v>10</v>
      </c>
      <c r="D102" s="21">
        <f>IFERROR(VLOOKUP(RIT_FUSIONS[[#This Row],[ID]],RIT_ACUM!A:A,1,0),"NOVO")</f>
        <v>47264</v>
      </c>
    </row>
    <row r="103" spans="1:4" hidden="1" x14ac:dyDescent="0.35">
      <c r="A103" s="1">
        <v>47263</v>
      </c>
      <c r="B103" s="2">
        <v>46309</v>
      </c>
      <c r="C103" s="21" t="s">
        <v>10</v>
      </c>
      <c r="D103" s="21">
        <f>IFERROR(VLOOKUP(RIT_FUSIONS[[#This Row],[ID]],RIT_ACUM!A:A,1,0),"NOVO")</f>
        <v>47263</v>
      </c>
    </row>
    <row r="104" spans="1:4" hidden="1" x14ac:dyDescent="0.35">
      <c r="A104" s="1">
        <v>47262</v>
      </c>
      <c r="B104" s="2">
        <v>46309</v>
      </c>
      <c r="C104" s="21" t="s">
        <v>3</v>
      </c>
      <c r="D104" s="21">
        <f>IFERROR(VLOOKUP(RIT_FUSIONS[[#This Row],[ID]],RIT_ACUM!A:A,1,0),"NOVO")</f>
        <v>47262</v>
      </c>
    </row>
    <row r="105" spans="1:4" hidden="1" x14ac:dyDescent="0.35">
      <c r="A105" s="1">
        <v>47261</v>
      </c>
      <c r="B105" s="2">
        <v>46309</v>
      </c>
      <c r="C105" s="21" t="s">
        <v>21</v>
      </c>
      <c r="D105" s="21">
        <f>IFERROR(VLOOKUP(RIT_FUSIONS[[#This Row],[ID]],RIT_ACUM!A:A,1,0),"NOVO")</f>
        <v>47261</v>
      </c>
    </row>
    <row r="106" spans="1:4" hidden="1" x14ac:dyDescent="0.35">
      <c r="A106" s="1">
        <v>47260</v>
      </c>
      <c r="B106" s="2">
        <v>46309</v>
      </c>
      <c r="C106" s="21" t="s">
        <v>21</v>
      </c>
      <c r="D106" s="21">
        <f>IFERROR(VLOOKUP(RIT_FUSIONS[[#This Row],[ID]],RIT_ACUM!A:A,1,0),"NOVO")</f>
        <v>47260</v>
      </c>
    </row>
    <row r="107" spans="1:4" hidden="1" x14ac:dyDescent="0.35">
      <c r="A107" s="1">
        <v>47255</v>
      </c>
      <c r="B107" s="2">
        <v>46309</v>
      </c>
      <c r="C107" s="21" t="s">
        <v>3</v>
      </c>
      <c r="D107" s="21">
        <f>IFERROR(VLOOKUP(RIT_FUSIONS[[#This Row],[ID]],RIT_ACUM!A:A,1,0),"NOVO")</f>
        <v>47255</v>
      </c>
    </row>
    <row r="108" spans="1:4" hidden="1" x14ac:dyDescent="0.35">
      <c r="A108" s="1">
        <v>47254</v>
      </c>
      <c r="B108" s="2">
        <v>46309</v>
      </c>
      <c r="C108" s="21" t="s">
        <v>3</v>
      </c>
      <c r="D108" s="21">
        <f>IFERROR(VLOOKUP(RIT_FUSIONS[[#This Row],[ID]],RIT_ACUM!A:A,1,0),"NOVO")</f>
        <v>47254</v>
      </c>
    </row>
    <row r="109" spans="1:4" hidden="1" x14ac:dyDescent="0.35">
      <c r="A109" s="1">
        <v>47246</v>
      </c>
      <c r="B109" s="2">
        <v>46308</v>
      </c>
      <c r="C109" s="21" t="s">
        <v>3</v>
      </c>
      <c r="D109" s="21">
        <f>IFERROR(VLOOKUP(RIT_FUSIONS[[#This Row],[ID]],RIT_ACUM!A:A,1,0),"NOVO")</f>
        <v>47246</v>
      </c>
    </row>
    <row r="110" spans="1:4" hidden="1" x14ac:dyDescent="0.35">
      <c r="A110" s="1">
        <v>47245</v>
      </c>
      <c r="B110" s="2">
        <v>46308</v>
      </c>
      <c r="C110" s="21" t="s">
        <v>10</v>
      </c>
      <c r="D110" s="21">
        <f>IFERROR(VLOOKUP(RIT_FUSIONS[[#This Row],[ID]],RIT_ACUM!A:A,1,0),"NOVO")</f>
        <v>47245</v>
      </c>
    </row>
    <row r="111" spans="1:4" hidden="1" x14ac:dyDescent="0.35">
      <c r="A111" s="1">
        <v>47244</v>
      </c>
      <c r="B111" s="2">
        <v>46308</v>
      </c>
      <c r="C111" s="21" t="s">
        <v>10</v>
      </c>
      <c r="D111" s="21">
        <f>IFERROR(VLOOKUP(RIT_FUSIONS[[#This Row],[ID]],RIT_ACUM!A:A,1,0),"NOVO")</f>
        <v>47244</v>
      </c>
    </row>
    <row r="112" spans="1:4" hidden="1" x14ac:dyDescent="0.35">
      <c r="A112" s="1">
        <v>47232</v>
      </c>
      <c r="B112" s="2">
        <v>46308</v>
      </c>
      <c r="C112" s="21" t="s">
        <v>22</v>
      </c>
      <c r="D112" s="21">
        <f>IFERROR(VLOOKUP(RIT_FUSIONS[[#This Row],[ID]],RIT_ACUM!A:A,1,0),"NOVO")</f>
        <v>47232</v>
      </c>
    </row>
    <row r="113" spans="1:4" hidden="1" x14ac:dyDescent="0.35">
      <c r="A113" s="1">
        <v>47231</v>
      </c>
      <c r="B113" s="2">
        <v>46308</v>
      </c>
      <c r="C113" s="21" t="s">
        <v>22</v>
      </c>
      <c r="D113" s="21">
        <f>IFERROR(VLOOKUP(RIT_FUSIONS[[#This Row],[ID]],RIT_ACUM!A:A,1,0),"NOVO")</f>
        <v>47231</v>
      </c>
    </row>
    <row r="114" spans="1:4" hidden="1" x14ac:dyDescent="0.35">
      <c r="A114" s="1">
        <v>47230</v>
      </c>
      <c r="B114" s="2">
        <v>46308</v>
      </c>
      <c r="C114" s="21" t="s">
        <v>22</v>
      </c>
      <c r="D114" s="21">
        <f>IFERROR(VLOOKUP(RIT_FUSIONS[[#This Row],[ID]],RIT_ACUM!A:A,1,0),"NOVO")</f>
        <v>47230</v>
      </c>
    </row>
    <row r="115" spans="1:4" hidden="1" x14ac:dyDescent="0.35">
      <c r="A115" s="1">
        <v>47229</v>
      </c>
      <c r="B115" s="2">
        <v>46308</v>
      </c>
      <c r="C115" s="21" t="s">
        <v>24</v>
      </c>
      <c r="D115" s="21">
        <f>IFERROR(VLOOKUP(RIT_FUSIONS[[#This Row],[ID]],RIT_ACUM!A:A,1,0),"NOVO")</f>
        <v>47229</v>
      </c>
    </row>
    <row r="116" spans="1:4" hidden="1" x14ac:dyDescent="0.35">
      <c r="A116" s="1">
        <v>47228</v>
      </c>
      <c r="B116" s="2">
        <v>46308</v>
      </c>
      <c r="C116" s="21" t="s">
        <v>24</v>
      </c>
      <c r="D116" s="21">
        <f>IFERROR(VLOOKUP(RIT_FUSIONS[[#This Row],[ID]],RIT_ACUM!A:A,1,0),"NOVO")</f>
        <v>47228</v>
      </c>
    </row>
    <row r="117" spans="1:4" hidden="1" x14ac:dyDescent="0.35">
      <c r="A117" s="1">
        <v>47227</v>
      </c>
      <c r="B117" s="2">
        <v>46308</v>
      </c>
      <c r="C117" s="21" t="s">
        <v>7</v>
      </c>
      <c r="D117" s="21">
        <f>IFERROR(VLOOKUP(RIT_FUSIONS[[#This Row],[ID]],RIT_ACUM!A:A,1,0),"NOVO")</f>
        <v>47227</v>
      </c>
    </row>
    <row r="118" spans="1:4" hidden="1" x14ac:dyDescent="0.35">
      <c r="A118" s="1">
        <v>47226</v>
      </c>
      <c r="B118" s="2">
        <v>46308</v>
      </c>
      <c r="C118" s="21" t="s">
        <v>24</v>
      </c>
      <c r="D118" s="21">
        <f>IFERROR(VLOOKUP(RIT_FUSIONS[[#This Row],[ID]],RIT_ACUM!A:A,1,0),"NOVO")</f>
        <v>47226</v>
      </c>
    </row>
    <row r="119" spans="1:4" hidden="1" x14ac:dyDescent="0.35">
      <c r="A119" s="1">
        <v>47225</v>
      </c>
      <c r="B119" s="2">
        <v>46308</v>
      </c>
      <c r="C119" s="21" t="s">
        <v>24</v>
      </c>
      <c r="D119" s="21">
        <f>IFERROR(VLOOKUP(RIT_FUSIONS[[#This Row],[ID]],RIT_ACUM!A:A,1,0),"NOVO")</f>
        <v>47225</v>
      </c>
    </row>
    <row r="120" spans="1:4" hidden="1" x14ac:dyDescent="0.35">
      <c r="A120" s="1">
        <v>47220</v>
      </c>
      <c r="B120" s="2">
        <v>46308</v>
      </c>
      <c r="C120" s="21" t="s">
        <v>28</v>
      </c>
      <c r="D120" s="21">
        <f>IFERROR(VLOOKUP(RIT_FUSIONS[[#This Row],[ID]],RIT_ACUM!A:A,1,0),"NOVO")</f>
        <v>47220</v>
      </c>
    </row>
    <row r="121" spans="1:4" hidden="1" x14ac:dyDescent="0.35">
      <c r="A121" s="1">
        <v>47219</v>
      </c>
      <c r="B121" s="2">
        <v>46308</v>
      </c>
      <c r="C121" s="21" t="s">
        <v>28</v>
      </c>
      <c r="D121" s="21">
        <f>IFERROR(VLOOKUP(RIT_FUSIONS[[#This Row],[ID]],RIT_ACUM!A:A,1,0),"NOVO")</f>
        <v>47219</v>
      </c>
    </row>
    <row r="122" spans="1:4" hidden="1" x14ac:dyDescent="0.35">
      <c r="A122" s="1">
        <v>47218</v>
      </c>
      <c r="B122" s="2">
        <v>46308</v>
      </c>
      <c r="C122" s="21" t="s">
        <v>28</v>
      </c>
      <c r="D122" s="21">
        <f>IFERROR(VLOOKUP(RIT_FUSIONS[[#This Row],[ID]],RIT_ACUM!A:A,1,0),"NOVO")</f>
        <v>47218</v>
      </c>
    </row>
    <row r="123" spans="1:4" hidden="1" x14ac:dyDescent="0.35">
      <c r="A123" s="1">
        <v>47216</v>
      </c>
      <c r="B123" s="2">
        <v>46308</v>
      </c>
      <c r="C123" s="21" t="s">
        <v>28</v>
      </c>
      <c r="D123" s="21">
        <f>IFERROR(VLOOKUP(RIT_FUSIONS[[#This Row],[ID]],RIT_ACUM!A:A,1,0),"NOVO")</f>
        <v>47216</v>
      </c>
    </row>
    <row r="124" spans="1:4" hidden="1" x14ac:dyDescent="0.35">
      <c r="A124" s="1">
        <v>47215</v>
      </c>
      <c r="B124" s="2">
        <v>46308</v>
      </c>
      <c r="C124" s="21" t="s">
        <v>28</v>
      </c>
      <c r="D124" s="21">
        <f>IFERROR(VLOOKUP(RIT_FUSIONS[[#This Row],[ID]],RIT_ACUM!A:A,1,0),"NOVO")</f>
        <v>47215</v>
      </c>
    </row>
    <row r="125" spans="1:4" hidden="1" x14ac:dyDescent="0.35">
      <c r="A125" s="1">
        <v>47214</v>
      </c>
      <c r="B125" s="2">
        <v>46308</v>
      </c>
      <c r="C125" s="21" t="s">
        <v>21</v>
      </c>
      <c r="D125" s="21">
        <f>IFERROR(VLOOKUP(RIT_FUSIONS[[#This Row],[ID]],RIT_ACUM!A:A,1,0),"NOVO")</f>
        <v>47214</v>
      </c>
    </row>
    <row r="126" spans="1:4" hidden="1" x14ac:dyDescent="0.35">
      <c r="A126" s="1">
        <v>47213</v>
      </c>
      <c r="B126" s="2">
        <v>46308</v>
      </c>
      <c r="C126" s="21" t="s">
        <v>17</v>
      </c>
      <c r="D126" s="21">
        <f>IFERROR(VLOOKUP(RIT_FUSIONS[[#This Row],[ID]],RIT_ACUM!A:A,1,0),"NOVO")</f>
        <v>47213</v>
      </c>
    </row>
    <row r="127" spans="1:4" hidden="1" x14ac:dyDescent="0.35">
      <c r="A127" s="1">
        <v>47212</v>
      </c>
      <c r="B127" s="2">
        <v>46308</v>
      </c>
      <c r="C127" s="21" t="s">
        <v>17</v>
      </c>
      <c r="D127" s="21">
        <f>IFERROR(VLOOKUP(RIT_FUSIONS[[#This Row],[ID]],RIT_ACUM!A:A,1,0),"NOVO")</f>
        <v>47212</v>
      </c>
    </row>
    <row r="128" spans="1:4" hidden="1" x14ac:dyDescent="0.35">
      <c r="A128" s="1">
        <v>47211</v>
      </c>
      <c r="B128" s="2">
        <v>46308</v>
      </c>
      <c r="C128" s="21" t="s">
        <v>17</v>
      </c>
      <c r="D128" s="21">
        <f>IFERROR(VLOOKUP(RIT_FUSIONS[[#This Row],[ID]],RIT_ACUM!A:A,1,0),"NOVO")</f>
        <v>47211</v>
      </c>
    </row>
    <row r="129" spans="1:4" hidden="1" x14ac:dyDescent="0.35">
      <c r="A129" s="1">
        <v>47210</v>
      </c>
      <c r="B129" s="2">
        <v>46308</v>
      </c>
      <c r="C129" s="21" t="s">
        <v>17</v>
      </c>
      <c r="D129" s="21">
        <f>IFERROR(VLOOKUP(RIT_FUSIONS[[#This Row],[ID]],RIT_ACUM!A:A,1,0),"NOVO")</f>
        <v>47210</v>
      </c>
    </row>
    <row r="130" spans="1:4" hidden="1" x14ac:dyDescent="0.35">
      <c r="A130" s="1">
        <v>47208</v>
      </c>
      <c r="B130" s="2">
        <v>46308</v>
      </c>
      <c r="C130" s="21" t="s">
        <v>19</v>
      </c>
      <c r="D130" s="21">
        <f>IFERROR(VLOOKUP(RIT_FUSIONS[[#This Row],[ID]],RIT_ACUM!A:A,1,0),"NOVO")</f>
        <v>47208</v>
      </c>
    </row>
    <row r="131" spans="1:4" hidden="1" x14ac:dyDescent="0.35">
      <c r="A131" s="1">
        <v>47206</v>
      </c>
      <c r="B131" s="2">
        <v>46308</v>
      </c>
      <c r="C131" s="21" t="s">
        <v>9</v>
      </c>
      <c r="D131" s="21">
        <f>IFERROR(VLOOKUP(RIT_FUSIONS[[#This Row],[ID]],RIT_ACUM!A:A,1,0),"NOVO")</f>
        <v>47206</v>
      </c>
    </row>
    <row r="132" spans="1:4" hidden="1" x14ac:dyDescent="0.35">
      <c r="A132" s="1">
        <v>47203</v>
      </c>
      <c r="B132" s="2">
        <v>46308</v>
      </c>
      <c r="C132" s="21" t="s">
        <v>103</v>
      </c>
      <c r="D132" s="21">
        <f>IFERROR(VLOOKUP(RIT_FUSIONS[[#This Row],[ID]],RIT_ACUM!A:A,1,0),"NOVO")</f>
        <v>47203</v>
      </c>
    </row>
    <row r="133" spans="1:4" hidden="1" x14ac:dyDescent="0.35">
      <c r="A133" s="1">
        <v>47202</v>
      </c>
      <c r="B133" s="2">
        <v>46308</v>
      </c>
      <c r="C133" s="21" t="s">
        <v>103</v>
      </c>
      <c r="D133" s="21">
        <f>IFERROR(VLOOKUP(RIT_FUSIONS[[#This Row],[ID]],RIT_ACUM!A:A,1,0),"NOVO")</f>
        <v>47202</v>
      </c>
    </row>
    <row r="134" spans="1:4" hidden="1" x14ac:dyDescent="0.35">
      <c r="A134" s="1">
        <v>47201</v>
      </c>
      <c r="B134" s="2">
        <v>46308</v>
      </c>
      <c r="C134" s="21" t="s">
        <v>7</v>
      </c>
      <c r="D134" s="21">
        <f>IFERROR(VLOOKUP(RIT_FUSIONS[[#This Row],[ID]],RIT_ACUM!A:A,1,0),"NOVO")</f>
        <v>47201</v>
      </c>
    </row>
    <row r="135" spans="1:4" hidden="1" x14ac:dyDescent="0.35">
      <c r="A135" s="1">
        <v>47200</v>
      </c>
      <c r="B135" s="2">
        <v>46308</v>
      </c>
      <c r="C135" s="21" t="s">
        <v>21</v>
      </c>
      <c r="D135" s="21">
        <f>IFERROR(VLOOKUP(RIT_FUSIONS[[#This Row],[ID]],RIT_ACUM!A:A,1,0),"NOVO")</f>
        <v>47200</v>
      </c>
    </row>
    <row r="136" spans="1:4" hidden="1" x14ac:dyDescent="0.35">
      <c r="A136" s="1">
        <v>47199</v>
      </c>
      <c r="B136" s="2">
        <v>46308</v>
      </c>
      <c r="C136" s="21" t="s">
        <v>21</v>
      </c>
      <c r="D136" s="21">
        <f>IFERROR(VLOOKUP(RIT_FUSIONS[[#This Row],[ID]],RIT_ACUM!A:A,1,0),"NOVO")</f>
        <v>47199</v>
      </c>
    </row>
    <row r="137" spans="1:4" hidden="1" x14ac:dyDescent="0.35">
      <c r="A137" s="1">
        <v>47198</v>
      </c>
      <c r="B137" s="2">
        <v>46308</v>
      </c>
      <c r="C137" s="21" t="s">
        <v>15</v>
      </c>
      <c r="D137" s="21">
        <f>IFERROR(VLOOKUP(RIT_FUSIONS[[#This Row],[ID]],RIT_ACUM!A:A,1,0),"NOVO")</f>
        <v>47198</v>
      </c>
    </row>
    <row r="138" spans="1:4" hidden="1" x14ac:dyDescent="0.35">
      <c r="A138" s="1">
        <v>47197</v>
      </c>
      <c r="B138" s="2">
        <v>46308</v>
      </c>
      <c r="C138" s="21" t="s">
        <v>6</v>
      </c>
      <c r="D138" s="21">
        <f>IFERROR(VLOOKUP(RIT_FUSIONS[[#This Row],[ID]],RIT_ACUM!A:A,1,0),"NOVO")</f>
        <v>47197</v>
      </c>
    </row>
    <row r="139" spans="1:4" hidden="1" x14ac:dyDescent="0.35">
      <c r="A139" s="1">
        <v>47196</v>
      </c>
      <c r="B139" s="2">
        <v>46308</v>
      </c>
      <c r="C139" s="21" t="s">
        <v>6</v>
      </c>
      <c r="D139" s="21">
        <f>IFERROR(VLOOKUP(RIT_FUSIONS[[#This Row],[ID]],RIT_ACUM!A:A,1,0),"NOVO")</f>
        <v>47196</v>
      </c>
    </row>
    <row r="140" spans="1:4" hidden="1" x14ac:dyDescent="0.35">
      <c r="A140" s="1">
        <v>47194</v>
      </c>
      <c r="B140" s="2">
        <v>46308</v>
      </c>
      <c r="C140" s="21" t="s">
        <v>9</v>
      </c>
      <c r="D140" s="21">
        <f>IFERROR(VLOOKUP(RIT_FUSIONS[[#This Row],[ID]],RIT_ACUM!A:A,1,0),"NOVO")</f>
        <v>47194</v>
      </c>
    </row>
    <row r="141" spans="1:4" hidden="1" x14ac:dyDescent="0.35">
      <c r="A141" s="1">
        <v>47193</v>
      </c>
      <c r="B141" s="2">
        <v>46308</v>
      </c>
      <c r="C141" s="21" t="s">
        <v>19</v>
      </c>
      <c r="D141" s="21">
        <f>IFERROR(VLOOKUP(RIT_FUSIONS[[#This Row],[ID]],RIT_ACUM!A:A,1,0),"NOVO")</f>
        <v>47193</v>
      </c>
    </row>
    <row r="142" spans="1:4" hidden="1" x14ac:dyDescent="0.35">
      <c r="A142" s="1">
        <v>47192</v>
      </c>
      <c r="B142" s="2">
        <v>46308</v>
      </c>
      <c r="C142" s="21" t="s">
        <v>21</v>
      </c>
      <c r="D142" s="21">
        <f>IFERROR(VLOOKUP(RIT_FUSIONS[[#This Row],[ID]],RIT_ACUM!A:A,1,0),"NOVO")</f>
        <v>47192</v>
      </c>
    </row>
    <row r="143" spans="1:4" hidden="1" x14ac:dyDescent="0.35">
      <c r="A143" s="1">
        <v>47191</v>
      </c>
      <c r="B143" s="2">
        <v>46308</v>
      </c>
      <c r="C143" s="21" t="s">
        <v>19</v>
      </c>
      <c r="D143" s="21">
        <f>IFERROR(VLOOKUP(RIT_FUSIONS[[#This Row],[ID]],RIT_ACUM!A:A,1,0),"NOVO")</f>
        <v>47191</v>
      </c>
    </row>
    <row r="144" spans="1:4" hidden="1" x14ac:dyDescent="0.35">
      <c r="A144" s="1">
        <v>47190</v>
      </c>
      <c r="B144" s="2">
        <v>46308</v>
      </c>
      <c r="C144" s="21" t="s">
        <v>9</v>
      </c>
      <c r="D144" s="21">
        <f>IFERROR(VLOOKUP(RIT_FUSIONS[[#This Row],[ID]],RIT_ACUM!A:A,1,0),"NOVO")</f>
        <v>47190</v>
      </c>
    </row>
    <row r="145" spans="1:4" hidden="1" x14ac:dyDescent="0.35">
      <c r="A145" s="1">
        <v>47189</v>
      </c>
      <c r="B145" s="2">
        <v>46308</v>
      </c>
      <c r="C145" s="21" t="s">
        <v>3</v>
      </c>
      <c r="D145" s="21">
        <f>IFERROR(VLOOKUP(RIT_FUSIONS[[#This Row],[ID]],RIT_ACUM!A:A,1,0),"NOVO")</f>
        <v>47189</v>
      </c>
    </row>
    <row r="146" spans="1:4" hidden="1" x14ac:dyDescent="0.35">
      <c r="A146" s="1">
        <v>47188</v>
      </c>
      <c r="B146" s="2">
        <v>46308</v>
      </c>
      <c r="C146" s="21" t="s">
        <v>3</v>
      </c>
      <c r="D146" s="21">
        <f>IFERROR(VLOOKUP(RIT_FUSIONS[[#This Row],[ID]],RIT_ACUM!A:A,1,0),"NOVO")</f>
        <v>47188</v>
      </c>
    </row>
    <row r="147" spans="1:4" hidden="1" x14ac:dyDescent="0.35">
      <c r="A147" s="1">
        <v>47187</v>
      </c>
      <c r="B147" s="2">
        <v>46308</v>
      </c>
      <c r="C147" s="21" t="s">
        <v>21</v>
      </c>
      <c r="D147" s="21">
        <f>IFERROR(VLOOKUP(RIT_FUSIONS[[#This Row],[ID]],RIT_ACUM!A:A,1,0),"NOVO")</f>
        <v>47187</v>
      </c>
    </row>
    <row r="148" spans="1:4" hidden="1" x14ac:dyDescent="0.35">
      <c r="A148" s="1">
        <v>47170</v>
      </c>
      <c r="B148" s="2">
        <v>46307</v>
      </c>
      <c r="C148" s="21" t="s">
        <v>10</v>
      </c>
      <c r="D148" s="21">
        <f>IFERROR(VLOOKUP(RIT_FUSIONS[[#This Row],[ID]],RIT_ACUM!A:A,1,0),"NOVO")</f>
        <v>47170</v>
      </c>
    </row>
    <row r="149" spans="1:4" hidden="1" x14ac:dyDescent="0.35">
      <c r="A149" s="1">
        <v>47169</v>
      </c>
      <c r="B149" s="2">
        <v>46307</v>
      </c>
      <c r="C149" s="21" t="s">
        <v>10</v>
      </c>
      <c r="D149" s="21">
        <f>IFERROR(VLOOKUP(RIT_FUSIONS[[#This Row],[ID]],RIT_ACUM!A:A,1,0),"NOVO")</f>
        <v>47169</v>
      </c>
    </row>
    <row r="150" spans="1:4" hidden="1" x14ac:dyDescent="0.35">
      <c r="A150" s="1">
        <v>47130</v>
      </c>
      <c r="B150" s="2">
        <v>46306</v>
      </c>
      <c r="C150" s="21" t="s">
        <v>17</v>
      </c>
      <c r="D150" s="21">
        <f>IFERROR(VLOOKUP(RIT_FUSIONS[[#This Row],[ID]],RIT_ACUM!A:A,1,0),"NOVO")</f>
        <v>47130</v>
      </c>
    </row>
    <row r="151" spans="1:4" hidden="1" x14ac:dyDescent="0.35">
      <c r="A151" s="1">
        <v>47129</v>
      </c>
      <c r="B151" s="2">
        <v>46306</v>
      </c>
      <c r="C151" s="21" t="s">
        <v>17</v>
      </c>
      <c r="D151" s="21">
        <f>IFERROR(VLOOKUP(RIT_FUSIONS[[#This Row],[ID]],RIT_ACUM!A:A,1,0),"NOVO")</f>
        <v>47129</v>
      </c>
    </row>
    <row r="152" spans="1:4" hidden="1" x14ac:dyDescent="0.35">
      <c r="A152" s="1">
        <v>47128</v>
      </c>
      <c r="B152" s="2">
        <v>46306</v>
      </c>
      <c r="C152" s="21" t="s">
        <v>17</v>
      </c>
      <c r="D152" s="21">
        <f>IFERROR(VLOOKUP(RIT_FUSIONS[[#This Row],[ID]],RIT_ACUM!A:A,1,0),"NOVO")</f>
        <v>47128</v>
      </c>
    </row>
    <row r="153" spans="1:4" hidden="1" x14ac:dyDescent="0.35">
      <c r="A153" s="1">
        <v>47127</v>
      </c>
      <c r="B153" s="2">
        <v>46306</v>
      </c>
      <c r="C153" s="21" t="s">
        <v>17</v>
      </c>
      <c r="D153" s="21">
        <f>IFERROR(VLOOKUP(RIT_FUSIONS[[#This Row],[ID]],RIT_ACUM!A:A,1,0),"NOVO")</f>
        <v>47127</v>
      </c>
    </row>
    <row r="154" spans="1:4" hidden="1" x14ac:dyDescent="0.35">
      <c r="A154" s="1">
        <v>47117</v>
      </c>
      <c r="B154" s="2">
        <v>46305</v>
      </c>
      <c r="C154" s="21" t="s">
        <v>10</v>
      </c>
      <c r="D154" s="21">
        <f>IFERROR(VLOOKUP(RIT_FUSIONS[[#This Row],[ID]],RIT_ACUM!A:A,1,0),"NOVO")</f>
        <v>47117</v>
      </c>
    </row>
    <row r="155" spans="1:4" hidden="1" x14ac:dyDescent="0.35">
      <c r="A155" s="1">
        <v>47107</v>
      </c>
      <c r="B155" s="2">
        <v>46305</v>
      </c>
      <c r="C155" s="21" t="s">
        <v>10</v>
      </c>
      <c r="D155" s="21">
        <f>IFERROR(VLOOKUP(RIT_FUSIONS[[#This Row],[ID]],RIT_ACUM!A:A,1,0),"NOVO")</f>
        <v>47107</v>
      </c>
    </row>
    <row r="156" spans="1:4" hidden="1" x14ac:dyDescent="0.35">
      <c r="A156" s="1">
        <v>47106</v>
      </c>
      <c r="B156" s="2">
        <v>46304</v>
      </c>
      <c r="C156" s="21" t="s">
        <v>10</v>
      </c>
      <c r="D156" s="21">
        <f>IFERROR(VLOOKUP(RIT_FUSIONS[[#This Row],[ID]],RIT_ACUM!A:A,1,0),"NOVO")</f>
        <v>47106</v>
      </c>
    </row>
    <row r="157" spans="1:4" hidden="1" x14ac:dyDescent="0.35">
      <c r="A157" s="1">
        <v>47105</v>
      </c>
      <c r="B157" s="2">
        <v>46304</v>
      </c>
      <c r="C157" s="21" t="s">
        <v>10</v>
      </c>
      <c r="D157" s="21">
        <f>IFERROR(VLOOKUP(RIT_FUSIONS[[#This Row],[ID]],RIT_ACUM!A:A,1,0),"NOVO")</f>
        <v>47105</v>
      </c>
    </row>
    <row r="158" spans="1:4" hidden="1" x14ac:dyDescent="0.35">
      <c r="A158" s="1">
        <v>47100</v>
      </c>
      <c r="B158" s="2">
        <v>46304</v>
      </c>
      <c r="C158" s="21" t="s">
        <v>24</v>
      </c>
      <c r="D158" s="21">
        <f>IFERROR(VLOOKUP(RIT_FUSIONS[[#This Row],[ID]],RIT_ACUM!A:A,1,0),"NOVO")</f>
        <v>47100</v>
      </c>
    </row>
    <row r="159" spans="1:4" hidden="1" x14ac:dyDescent="0.35">
      <c r="A159" s="1">
        <v>47099</v>
      </c>
      <c r="B159" s="2">
        <v>46304</v>
      </c>
      <c r="C159" s="21" t="s">
        <v>24</v>
      </c>
      <c r="D159" s="21">
        <f>IFERROR(VLOOKUP(RIT_FUSIONS[[#This Row],[ID]],RIT_ACUM!A:A,1,0),"NOVO")</f>
        <v>47099</v>
      </c>
    </row>
    <row r="160" spans="1:4" hidden="1" x14ac:dyDescent="0.35">
      <c r="A160" s="1">
        <v>47098</v>
      </c>
      <c r="B160" s="2">
        <v>46304</v>
      </c>
      <c r="C160" s="21" t="s">
        <v>24</v>
      </c>
      <c r="D160" s="21">
        <f>IFERROR(VLOOKUP(RIT_FUSIONS[[#This Row],[ID]],RIT_ACUM!A:A,1,0),"NOVO")</f>
        <v>47098</v>
      </c>
    </row>
    <row r="161" spans="1:4" hidden="1" x14ac:dyDescent="0.35">
      <c r="A161" s="1">
        <v>47097</v>
      </c>
      <c r="B161" s="2">
        <v>46304</v>
      </c>
      <c r="C161" s="21" t="s">
        <v>28</v>
      </c>
      <c r="D161" s="21">
        <f>IFERROR(VLOOKUP(RIT_FUSIONS[[#This Row],[ID]],RIT_ACUM!A:A,1,0),"NOVO")</f>
        <v>47097</v>
      </c>
    </row>
    <row r="162" spans="1:4" hidden="1" x14ac:dyDescent="0.35">
      <c r="A162" s="1">
        <v>47095</v>
      </c>
      <c r="B162" s="2">
        <v>46304</v>
      </c>
      <c r="C162" s="21" t="s">
        <v>3</v>
      </c>
      <c r="D162" s="21">
        <f>IFERROR(VLOOKUP(RIT_FUSIONS[[#This Row],[ID]],RIT_ACUM!A:A,1,0),"NOVO")</f>
        <v>47095</v>
      </c>
    </row>
    <row r="163" spans="1:4" hidden="1" x14ac:dyDescent="0.35">
      <c r="A163" s="1">
        <v>47094</v>
      </c>
      <c r="B163" s="2">
        <v>46304</v>
      </c>
      <c r="C163" s="21" t="s">
        <v>21</v>
      </c>
      <c r="D163" s="21">
        <f>IFERROR(VLOOKUP(RIT_FUSIONS[[#This Row],[ID]],RIT_ACUM!A:A,1,0),"NOVO")</f>
        <v>47094</v>
      </c>
    </row>
    <row r="164" spans="1:4" hidden="1" x14ac:dyDescent="0.35">
      <c r="A164" s="1">
        <v>47092</v>
      </c>
      <c r="B164" s="2">
        <v>46304</v>
      </c>
      <c r="C164" s="21" t="s">
        <v>7</v>
      </c>
      <c r="D164" s="21">
        <f>IFERROR(VLOOKUP(RIT_FUSIONS[[#This Row],[ID]],RIT_ACUM!A:A,1,0),"NOVO")</f>
        <v>47092</v>
      </c>
    </row>
    <row r="165" spans="1:4" hidden="1" x14ac:dyDescent="0.35">
      <c r="A165" s="1">
        <v>47091</v>
      </c>
      <c r="B165" s="2">
        <v>46304</v>
      </c>
      <c r="C165" s="21" t="s">
        <v>7</v>
      </c>
      <c r="D165" s="21">
        <f>IFERROR(VLOOKUP(RIT_FUSIONS[[#This Row],[ID]],RIT_ACUM!A:A,1,0),"NOVO")</f>
        <v>47091</v>
      </c>
    </row>
    <row r="166" spans="1:4" hidden="1" x14ac:dyDescent="0.35">
      <c r="A166" s="1">
        <v>47090</v>
      </c>
      <c r="B166" s="2">
        <v>46304</v>
      </c>
      <c r="C166" s="21" t="s">
        <v>28</v>
      </c>
      <c r="D166" s="21">
        <f>IFERROR(VLOOKUP(RIT_FUSIONS[[#This Row],[ID]],RIT_ACUM!A:A,1,0),"NOVO")</f>
        <v>47090</v>
      </c>
    </row>
    <row r="167" spans="1:4" hidden="1" x14ac:dyDescent="0.35">
      <c r="A167" s="1">
        <v>47089</v>
      </c>
      <c r="B167" s="2">
        <v>46304</v>
      </c>
      <c r="C167" s="21" t="s">
        <v>9</v>
      </c>
      <c r="D167" s="21">
        <f>IFERROR(VLOOKUP(RIT_FUSIONS[[#This Row],[ID]],RIT_ACUM!A:A,1,0),"NOVO")</f>
        <v>47089</v>
      </c>
    </row>
    <row r="168" spans="1:4" hidden="1" x14ac:dyDescent="0.35">
      <c r="A168" s="1">
        <v>47088</v>
      </c>
      <c r="B168" s="2">
        <v>46304</v>
      </c>
      <c r="C168" s="21" t="s">
        <v>9</v>
      </c>
      <c r="D168" s="21">
        <f>IFERROR(VLOOKUP(RIT_FUSIONS[[#This Row],[ID]],RIT_ACUM!A:A,1,0),"NOVO")</f>
        <v>47088</v>
      </c>
    </row>
    <row r="169" spans="1:4" hidden="1" x14ac:dyDescent="0.35">
      <c r="A169" s="1">
        <v>47087</v>
      </c>
      <c r="B169" s="2">
        <v>46304</v>
      </c>
      <c r="C169" s="21" t="s">
        <v>19</v>
      </c>
      <c r="D169" s="21">
        <f>IFERROR(VLOOKUP(RIT_FUSIONS[[#This Row],[ID]],RIT_ACUM!A:A,1,0),"NOVO")</f>
        <v>47087</v>
      </c>
    </row>
    <row r="170" spans="1:4" hidden="1" x14ac:dyDescent="0.35">
      <c r="A170" s="1">
        <v>47082</v>
      </c>
      <c r="B170" s="2">
        <v>46304</v>
      </c>
      <c r="C170" s="21" t="s">
        <v>28</v>
      </c>
      <c r="D170" s="21">
        <f>IFERROR(VLOOKUP(RIT_FUSIONS[[#This Row],[ID]],RIT_ACUM!A:A,1,0),"NOVO")</f>
        <v>47082</v>
      </c>
    </row>
    <row r="171" spans="1:4" hidden="1" x14ac:dyDescent="0.35">
      <c r="A171" s="1">
        <v>47078</v>
      </c>
      <c r="B171" s="2">
        <v>46304</v>
      </c>
      <c r="C171" s="21" t="s">
        <v>28</v>
      </c>
      <c r="D171" s="21">
        <f>IFERROR(VLOOKUP(RIT_FUSIONS[[#This Row],[ID]],RIT_ACUM!A:A,1,0),"NOVO")</f>
        <v>47078</v>
      </c>
    </row>
    <row r="172" spans="1:4" hidden="1" x14ac:dyDescent="0.35">
      <c r="A172" s="1">
        <v>47076</v>
      </c>
      <c r="B172" s="2">
        <v>46304</v>
      </c>
      <c r="C172" s="21" t="s">
        <v>24</v>
      </c>
      <c r="D172" s="21">
        <f>IFERROR(VLOOKUP(RIT_FUSIONS[[#This Row],[ID]],RIT_ACUM!A:A,1,0),"NOVO")</f>
        <v>47076</v>
      </c>
    </row>
    <row r="173" spans="1:4" hidden="1" x14ac:dyDescent="0.35">
      <c r="A173" s="1">
        <v>47075</v>
      </c>
      <c r="B173" s="2">
        <v>46304</v>
      </c>
      <c r="C173" s="21" t="s">
        <v>24</v>
      </c>
      <c r="D173" s="21">
        <f>IFERROR(VLOOKUP(RIT_FUSIONS[[#This Row],[ID]],RIT_ACUM!A:A,1,0),"NOVO")</f>
        <v>47075</v>
      </c>
    </row>
    <row r="174" spans="1:4" hidden="1" x14ac:dyDescent="0.35">
      <c r="A174" s="1">
        <v>47074</v>
      </c>
      <c r="B174" s="2">
        <v>46304</v>
      </c>
      <c r="C174" s="21" t="s">
        <v>24</v>
      </c>
      <c r="D174" s="21">
        <f>IFERROR(VLOOKUP(RIT_FUSIONS[[#This Row],[ID]],RIT_ACUM!A:A,1,0),"NOVO")</f>
        <v>47074</v>
      </c>
    </row>
    <row r="175" spans="1:4" hidden="1" x14ac:dyDescent="0.35">
      <c r="A175" s="1">
        <v>47073</v>
      </c>
      <c r="B175" s="2">
        <v>46304</v>
      </c>
      <c r="C175" s="21" t="s">
        <v>24</v>
      </c>
      <c r="D175" s="21">
        <f>IFERROR(VLOOKUP(RIT_FUSIONS[[#This Row],[ID]],RIT_ACUM!A:A,1,0),"NOVO")</f>
        <v>47073</v>
      </c>
    </row>
    <row r="176" spans="1:4" hidden="1" x14ac:dyDescent="0.35">
      <c r="A176" s="1">
        <v>47071</v>
      </c>
      <c r="B176" s="2">
        <v>46304</v>
      </c>
      <c r="C176" s="21" t="s">
        <v>21</v>
      </c>
      <c r="D176" s="21">
        <f>IFERROR(VLOOKUP(RIT_FUSIONS[[#This Row],[ID]],RIT_ACUM!A:A,1,0),"NOVO")</f>
        <v>47071</v>
      </c>
    </row>
    <row r="177" spans="1:4" hidden="1" x14ac:dyDescent="0.35">
      <c r="A177" s="1">
        <v>47070</v>
      </c>
      <c r="B177" s="2">
        <v>46304</v>
      </c>
      <c r="C177" s="21" t="s">
        <v>19</v>
      </c>
      <c r="D177" s="21">
        <f>IFERROR(VLOOKUP(RIT_FUSIONS[[#This Row],[ID]],RIT_ACUM!A:A,1,0),"NOVO")</f>
        <v>47070</v>
      </c>
    </row>
    <row r="178" spans="1:4" hidden="1" x14ac:dyDescent="0.35">
      <c r="A178" s="1">
        <v>47051</v>
      </c>
      <c r="B178" s="2">
        <v>46304</v>
      </c>
      <c r="C178" s="21" t="s">
        <v>19</v>
      </c>
      <c r="D178" s="21">
        <f>IFERROR(VLOOKUP(RIT_FUSIONS[[#This Row],[ID]],RIT_ACUM!A:A,1,0),"NOVO")</f>
        <v>47051</v>
      </c>
    </row>
    <row r="179" spans="1:4" hidden="1" x14ac:dyDescent="0.35">
      <c r="A179" s="1">
        <v>47049</v>
      </c>
      <c r="B179" s="2">
        <v>46304</v>
      </c>
      <c r="C179" s="21" t="s">
        <v>21</v>
      </c>
      <c r="D179" s="21">
        <f>IFERROR(VLOOKUP(RIT_FUSIONS[[#This Row],[ID]],RIT_ACUM!A:A,1,0),"NOVO")</f>
        <v>47049</v>
      </c>
    </row>
    <row r="180" spans="1:4" hidden="1" x14ac:dyDescent="0.35">
      <c r="A180" s="1">
        <v>47047</v>
      </c>
      <c r="B180" s="2">
        <v>46304</v>
      </c>
      <c r="C180" s="21" t="s">
        <v>3</v>
      </c>
      <c r="D180" s="21">
        <f>IFERROR(VLOOKUP(RIT_FUSIONS[[#This Row],[ID]],RIT_ACUM!A:A,1,0),"NOVO")</f>
        <v>47047</v>
      </c>
    </row>
    <row r="181" spans="1:4" hidden="1" x14ac:dyDescent="0.35">
      <c r="A181" s="1">
        <v>47044</v>
      </c>
      <c r="B181" s="2">
        <v>46304</v>
      </c>
      <c r="C181" s="21" t="s">
        <v>19</v>
      </c>
      <c r="D181" s="21">
        <f>IFERROR(VLOOKUP(RIT_FUSIONS[[#This Row],[ID]],RIT_ACUM!A:A,1,0),"NOVO")</f>
        <v>47044</v>
      </c>
    </row>
    <row r="182" spans="1:4" hidden="1" x14ac:dyDescent="0.35">
      <c r="A182" s="1">
        <v>47039</v>
      </c>
      <c r="B182" s="2">
        <v>46304</v>
      </c>
      <c r="C182" s="21" t="s">
        <v>21</v>
      </c>
      <c r="D182" s="21">
        <f>IFERROR(VLOOKUP(RIT_FUSIONS[[#This Row],[ID]],RIT_ACUM!A:A,1,0),"NOVO")</f>
        <v>47039</v>
      </c>
    </row>
    <row r="183" spans="1:4" hidden="1" x14ac:dyDescent="0.35">
      <c r="A183" s="1">
        <v>47038</v>
      </c>
      <c r="B183" s="2">
        <v>46304</v>
      </c>
      <c r="C183" s="21" t="s">
        <v>19</v>
      </c>
      <c r="D183" s="21">
        <f>IFERROR(VLOOKUP(RIT_FUSIONS[[#This Row],[ID]],RIT_ACUM!A:A,1,0),"NOVO")</f>
        <v>47038</v>
      </c>
    </row>
    <row r="184" spans="1:4" hidden="1" x14ac:dyDescent="0.35">
      <c r="A184" s="1">
        <v>47036</v>
      </c>
      <c r="B184" s="2">
        <v>46304</v>
      </c>
      <c r="C184" s="21" t="s">
        <v>9</v>
      </c>
      <c r="D184" s="21">
        <f>IFERROR(VLOOKUP(RIT_FUSIONS[[#This Row],[ID]],RIT_ACUM!A:A,1,0),"NOVO")</f>
        <v>47036</v>
      </c>
    </row>
    <row r="185" spans="1:4" hidden="1" x14ac:dyDescent="0.35">
      <c r="A185" s="1">
        <v>47033</v>
      </c>
      <c r="B185" s="2">
        <v>46303</v>
      </c>
      <c r="C185" s="21" t="s">
        <v>10</v>
      </c>
      <c r="D185" s="21">
        <f>IFERROR(VLOOKUP(RIT_FUSIONS[[#This Row],[ID]],RIT_ACUM!A:A,1,0),"NOVO")</f>
        <v>47033</v>
      </c>
    </row>
    <row r="186" spans="1:4" hidden="1" x14ac:dyDescent="0.35">
      <c r="A186" s="1">
        <v>47032</v>
      </c>
      <c r="B186" s="2">
        <v>46303</v>
      </c>
      <c r="C186" s="21" t="s">
        <v>10</v>
      </c>
      <c r="D186" s="21">
        <f>IFERROR(VLOOKUP(RIT_FUSIONS[[#This Row],[ID]],RIT_ACUM!A:A,1,0),"NOVO")</f>
        <v>47032</v>
      </c>
    </row>
    <row r="187" spans="1:4" hidden="1" x14ac:dyDescent="0.35">
      <c r="A187" s="1">
        <v>47018</v>
      </c>
      <c r="B187" s="2">
        <v>46303</v>
      </c>
      <c r="C187" s="21" t="s">
        <v>21</v>
      </c>
      <c r="D187" s="21">
        <f>IFERROR(VLOOKUP(RIT_FUSIONS[[#This Row],[ID]],RIT_ACUM!A:A,1,0),"NOVO")</f>
        <v>47018</v>
      </c>
    </row>
    <row r="188" spans="1:4" hidden="1" x14ac:dyDescent="0.35">
      <c r="A188" s="1">
        <v>47017</v>
      </c>
      <c r="B188" s="2">
        <v>46303</v>
      </c>
      <c r="C188" s="21" t="s">
        <v>21</v>
      </c>
      <c r="D188" s="21">
        <f>IFERROR(VLOOKUP(RIT_FUSIONS[[#This Row],[ID]],RIT_ACUM!A:A,1,0),"NOVO")</f>
        <v>47017</v>
      </c>
    </row>
    <row r="189" spans="1:4" hidden="1" x14ac:dyDescent="0.35">
      <c r="A189" s="1">
        <v>47016</v>
      </c>
      <c r="B189" s="2">
        <v>46303</v>
      </c>
      <c r="C189" s="21" t="s">
        <v>3</v>
      </c>
      <c r="D189" s="21">
        <f>IFERROR(VLOOKUP(RIT_FUSIONS[[#This Row],[ID]],RIT_ACUM!A:A,1,0),"NOVO")</f>
        <v>47016</v>
      </c>
    </row>
    <row r="190" spans="1:4" hidden="1" x14ac:dyDescent="0.35">
      <c r="A190" s="1">
        <v>47015</v>
      </c>
      <c r="B190" s="2">
        <v>46303</v>
      </c>
      <c r="C190" s="21" t="s">
        <v>3</v>
      </c>
      <c r="D190" s="21">
        <f>IFERROR(VLOOKUP(RIT_FUSIONS[[#This Row],[ID]],RIT_ACUM!A:A,1,0),"NOVO")</f>
        <v>47015</v>
      </c>
    </row>
    <row r="191" spans="1:4" hidden="1" x14ac:dyDescent="0.35">
      <c r="A191" s="1">
        <v>47009</v>
      </c>
      <c r="B191" s="2">
        <v>46303</v>
      </c>
      <c r="C191" s="21" t="s">
        <v>22</v>
      </c>
      <c r="D191" s="21">
        <f>IFERROR(VLOOKUP(RIT_FUSIONS[[#This Row],[ID]],RIT_ACUM!A:A,1,0),"NOVO")</f>
        <v>47009</v>
      </c>
    </row>
    <row r="192" spans="1:4" hidden="1" x14ac:dyDescent="0.35">
      <c r="A192" s="1">
        <v>47008</v>
      </c>
      <c r="B192" s="2">
        <v>46303</v>
      </c>
      <c r="C192" s="21" t="s">
        <v>22</v>
      </c>
      <c r="D192" s="21">
        <f>IFERROR(VLOOKUP(RIT_FUSIONS[[#This Row],[ID]],RIT_ACUM!A:A,1,0),"NOVO")</f>
        <v>47008</v>
      </c>
    </row>
    <row r="193" spans="1:4" hidden="1" x14ac:dyDescent="0.35">
      <c r="A193" s="1">
        <v>47007</v>
      </c>
      <c r="B193" s="2">
        <v>46303</v>
      </c>
      <c r="C193" s="21" t="s">
        <v>22</v>
      </c>
      <c r="D193" s="21">
        <f>IFERROR(VLOOKUP(RIT_FUSIONS[[#This Row],[ID]],RIT_ACUM!A:A,1,0),"NOVO")</f>
        <v>47007</v>
      </c>
    </row>
    <row r="194" spans="1:4" hidden="1" x14ac:dyDescent="0.35">
      <c r="A194" s="1">
        <v>47006</v>
      </c>
      <c r="B194" s="2">
        <v>46303</v>
      </c>
      <c r="C194" s="21" t="s">
        <v>22</v>
      </c>
      <c r="D194" s="21">
        <f>IFERROR(VLOOKUP(RIT_FUSIONS[[#This Row],[ID]],RIT_ACUM!A:A,1,0),"NOVO")</f>
        <v>47006</v>
      </c>
    </row>
    <row r="195" spans="1:4" hidden="1" x14ac:dyDescent="0.35">
      <c r="A195" s="1">
        <v>47005</v>
      </c>
      <c r="B195" s="2">
        <v>46303</v>
      </c>
      <c r="C195" s="21" t="s">
        <v>22</v>
      </c>
      <c r="D195" s="21">
        <f>IFERROR(VLOOKUP(RIT_FUSIONS[[#This Row],[ID]],RIT_ACUM!A:A,1,0),"NOVO")</f>
        <v>47005</v>
      </c>
    </row>
    <row r="196" spans="1:4" hidden="1" x14ac:dyDescent="0.35">
      <c r="A196" s="1">
        <v>47004</v>
      </c>
      <c r="B196" s="2">
        <v>46303</v>
      </c>
      <c r="C196" s="21" t="s">
        <v>22</v>
      </c>
      <c r="D196" s="21">
        <f>IFERROR(VLOOKUP(RIT_FUSIONS[[#This Row],[ID]],RIT_ACUM!A:A,1,0),"NOVO")</f>
        <v>47004</v>
      </c>
    </row>
    <row r="197" spans="1:4" hidden="1" x14ac:dyDescent="0.35">
      <c r="A197" s="1">
        <v>47003</v>
      </c>
      <c r="B197" s="2">
        <v>46303</v>
      </c>
      <c r="C197" s="21" t="s">
        <v>22</v>
      </c>
      <c r="D197" s="21">
        <f>IFERROR(VLOOKUP(RIT_FUSIONS[[#This Row],[ID]],RIT_ACUM!A:A,1,0),"NOVO")</f>
        <v>47003</v>
      </c>
    </row>
    <row r="198" spans="1:4" hidden="1" x14ac:dyDescent="0.35">
      <c r="A198" s="1">
        <v>47002</v>
      </c>
      <c r="B198" s="2">
        <v>46303</v>
      </c>
      <c r="C198" s="21" t="s">
        <v>22</v>
      </c>
      <c r="D198" s="21">
        <f>IFERROR(VLOOKUP(RIT_FUSIONS[[#This Row],[ID]],RIT_ACUM!A:A,1,0),"NOVO")</f>
        <v>47002</v>
      </c>
    </row>
    <row r="199" spans="1:4" hidden="1" x14ac:dyDescent="0.35">
      <c r="A199" s="1">
        <v>47001</v>
      </c>
      <c r="B199" s="2">
        <v>46303</v>
      </c>
      <c r="C199" s="21" t="s">
        <v>22</v>
      </c>
      <c r="D199" s="21">
        <f>IFERROR(VLOOKUP(RIT_FUSIONS[[#This Row],[ID]],RIT_ACUM!A:A,1,0),"NOVO")</f>
        <v>47001</v>
      </c>
    </row>
    <row r="200" spans="1:4" hidden="1" x14ac:dyDescent="0.35">
      <c r="A200" s="1">
        <v>47000</v>
      </c>
      <c r="B200" s="2">
        <v>46303</v>
      </c>
      <c r="C200" s="21" t="s">
        <v>22</v>
      </c>
      <c r="D200" s="21">
        <f>IFERROR(VLOOKUP(RIT_FUSIONS[[#This Row],[ID]],RIT_ACUM!A:A,1,0),"NOVO")</f>
        <v>47000</v>
      </c>
    </row>
    <row r="201" spans="1:4" hidden="1" x14ac:dyDescent="0.35">
      <c r="A201" s="1">
        <v>46992</v>
      </c>
      <c r="B201" s="2">
        <v>46303</v>
      </c>
      <c r="C201" s="21" t="s">
        <v>19</v>
      </c>
      <c r="D201" s="21">
        <f>IFERROR(VLOOKUP(RIT_FUSIONS[[#This Row],[ID]],RIT_ACUM!A:A,1,0),"NOVO")</f>
        <v>46992</v>
      </c>
    </row>
    <row r="202" spans="1:4" hidden="1" x14ac:dyDescent="0.35">
      <c r="A202" s="1">
        <v>46991</v>
      </c>
      <c r="B202" s="2">
        <v>46303</v>
      </c>
      <c r="C202" s="21" t="s">
        <v>9</v>
      </c>
      <c r="D202" s="21">
        <f>IFERROR(VLOOKUP(RIT_FUSIONS[[#This Row],[ID]],RIT_ACUM!A:A,1,0),"NOVO")</f>
        <v>46991</v>
      </c>
    </row>
    <row r="203" spans="1:4" hidden="1" x14ac:dyDescent="0.35">
      <c r="A203" s="1">
        <v>46989</v>
      </c>
      <c r="B203" s="2">
        <v>46303</v>
      </c>
      <c r="C203" s="21" t="s">
        <v>7</v>
      </c>
      <c r="D203" s="21">
        <f>IFERROR(VLOOKUP(RIT_FUSIONS[[#This Row],[ID]],RIT_ACUM!A:A,1,0),"NOVO")</f>
        <v>46989</v>
      </c>
    </row>
    <row r="204" spans="1:4" hidden="1" x14ac:dyDescent="0.35">
      <c r="A204" s="1">
        <v>46987</v>
      </c>
      <c r="B204" s="2">
        <v>46303</v>
      </c>
      <c r="C204" s="21" t="s">
        <v>21</v>
      </c>
      <c r="D204" s="21">
        <f>IFERROR(VLOOKUP(RIT_FUSIONS[[#This Row],[ID]],RIT_ACUM!A:A,1,0),"NOVO")</f>
        <v>46987</v>
      </c>
    </row>
    <row r="205" spans="1:4" hidden="1" x14ac:dyDescent="0.35">
      <c r="A205" s="1">
        <v>46985</v>
      </c>
      <c r="B205" s="2">
        <v>46303</v>
      </c>
      <c r="C205" s="21" t="s">
        <v>19</v>
      </c>
      <c r="D205" s="21">
        <f>IFERROR(VLOOKUP(RIT_FUSIONS[[#This Row],[ID]],RIT_ACUM!A:A,1,0),"NOVO")</f>
        <v>46985</v>
      </c>
    </row>
    <row r="206" spans="1:4" hidden="1" x14ac:dyDescent="0.35">
      <c r="A206" s="1">
        <v>46980</v>
      </c>
      <c r="B206" s="2">
        <v>46303</v>
      </c>
      <c r="C206" s="21" t="s">
        <v>9</v>
      </c>
      <c r="D206" s="21">
        <f>IFERROR(VLOOKUP(RIT_FUSIONS[[#This Row],[ID]],RIT_ACUM!A:A,1,0),"NOVO")</f>
        <v>46980</v>
      </c>
    </row>
    <row r="207" spans="1:4" hidden="1" x14ac:dyDescent="0.35">
      <c r="A207" s="1">
        <v>46979</v>
      </c>
      <c r="B207" s="2">
        <v>46303</v>
      </c>
      <c r="C207" s="21" t="s">
        <v>21</v>
      </c>
      <c r="D207" s="21">
        <f>IFERROR(VLOOKUP(RIT_FUSIONS[[#This Row],[ID]],RIT_ACUM!A:A,1,0),"NOVO")</f>
        <v>46979</v>
      </c>
    </row>
    <row r="208" spans="1:4" hidden="1" x14ac:dyDescent="0.35">
      <c r="A208" s="1">
        <v>46978</v>
      </c>
      <c r="B208" s="2">
        <v>46303</v>
      </c>
      <c r="C208" s="21" t="s">
        <v>28</v>
      </c>
      <c r="D208" s="21">
        <f>IFERROR(VLOOKUP(RIT_FUSIONS[[#This Row],[ID]],RIT_ACUM!A:A,1,0),"NOVO")</f>
        <v>46978</v>
      </c>
    </row>
    <row r="209" spans="1:4" hidden="1" x14ac:dyDescent="0.35">
      <c r="A209" s="1">
        <v>46977</v>
      </c>
      <c r="B209" s="2">
        <v>46303</v>
      </c>
      <c r="C209" s="21" t="s">
        <v>28</v>
      </c>
      <c r="D209" s="21">
        <f>IFERROR(VLOOKUP(RIT_FUSIONS[[#This Row],[ID]],RIT_ACUM!A:A,1,0),"NOVO")</f>
        <v>46977</v>
      </c>
    </row>
    <row r="210" spans="1:4" hidden="1" x14ac:dyDescent="0.35">
      <c r="A210" s="1">
        <v>46976</v>
      </c>
      <c r="B210" s="2">
        <v>46303</v>
      </c>
      <c r="C210" s="21" t="s">
        <v>28</v>
      </c>
      <c r="D210" s="21">
        <f>IFERROR(VLOOKUP(RIT_FUSIONS[[#This Row],[ID]],RIT_ACUM!A:A,1,0),"NOVO")</f>
        <v>46976</v>
      </c>
    </row>
    <row r="211" spans="1:4" hidden="1" x14ac:dyDescent="0.35">
      <c r="A211" s="1">
        <v>46975</v>
      </c>
      <c r="B211" s="2">
        <v>46303</v>
      </c>
      <c r="C211" s="21" t="s">
        <v>28</v>
      </c>
      <c r="D211" s="21">
        <f>IFERROR(VLOOKUP(RIT_FUSIONS[[#This Row],[ID]],RIT_ACUM!A:A,1,0),"NOVO")</f>
        <v>46975</v>
      </c>
    </row>
    <row r="212" spans="1:4" hidden="1" x14ac:dyDescent="0.35">
      <c r="A212" s="1">
        <v>46974</v>
      </c>
      <c r="B212" s="2">
        <v>46303</v>
      </c>
      <c r="C212" s="21" t="s">
        <v>28</v>
      </c>
      <c r="D212" s="21">
        <f>IFERROR(VLOOKUP(RIT_FUSIONS[[#This Row],[ID]],RIT_ACUM!A:A,1,0),"NOVO")</f>
        <v>46974</v>
      </c>
    </row>
    <row r="213" spans="1:4" hidden="1" x14ac:dyDescent="0.35">
      <c r="A213" s="1">
        <v>46973</v>
      </c>
      <c r="B213" s="2">
        <v>46303</v>
      </c>
      <c r="C213" s="21" t="s">
        <v>28</v>
      </c>
      <c r="D213" s="21">
        <f>IFERROR(VLOOKUP(RIT_FUSIONS[[#This Row],[ID]],RIT_ACUM!A:A,1,0),"NOVO")</f>
        <v>46973</v>
      </c>
    </row>
    <row r="214" spans="1:4" hidden="1" x14ac:dyDescent="0.35">
      <c r="A214" s="1">
        <v>46972</v>
      </c>
      <c r="B214" s="2">
        <v>46303</v>
      </c>
      <c r="C214" s="21" t="s">
        <v>21</v>
      </c>
      <c r="D214" s="21">
        <f>IFERROR(VLOOKUP(RIT_FUSIONS[[#This Row],[ID]],RIT_ACUM!A:A,1,0),"NOVO")</f>
        <v>46972</v>
      </c>
    </row>
    <row r="215" spans="1:4" hidden="1" x14ac:dyDescent="0.35">
      <c r="A215" s="1">
        <v>46971</v>
      </c>
      <c r="B215" s="2">
        <v>46303</v>
      </c>
      <c r="C215" s="21" t="s">
        <v>21</v>
      </c>
      <c r="D215" s="21">
        <f>IFERROR(VLOOKUP(RIT_FUSIONS[[#This Row],[ID]],RIT_ACUM!A:A,1,0),"NOVO")</f>
        <v>46971</v>
      </c>
    </row>
    <row r="216" spans="1:4" hidden="1" x14ac:dyDescent="0.35">
      <c r="A216" s="1">
        <v>46970</v>
      </c>
      <c r="B216" s="2">
        <v>46303</v>
      </c>
      <c r="C216" s="21" t="s">
        <v>21</v>
      </c>
      <c r="D216" s="21">
        <f>IFERROR(VLOOKUP(RIT_FUSIONS[[#This Row],[ID]],RIT_ACUM!A:A,1,0),"NOVO")</f>
        <v>46970</v>
      </c>
    </row>
    <row r="217" spans="1:4" hidden="1" x14ac:dyDescent="0.35">
      <c r="A217" s="1">
        <v>46969</v>
      </c>
      <c r="B217" s="2">
        <v>46303</v>
      </c>
      <c r="C217" s="21" t="s">
        <v>21</v>
      </c>
      <c r="D217" s="21">
        <f>IFERROR(VLOOKUP(RIT_FUSIONS[[#This Row],[ID]],RIT_ACUM!A:A,1,0),"NOVO")</f>
        <v>46969</v>
      </c>
    </row>
    <row r="218" spans="1:4" hidden="1" x14ac:dyDescent="0.35">
      <c r="A218" s="1">
        <v>46968</v>
      </c>
      <c r="B218" s="2">
        <v>46303</v>
      </c>
      <c r="C218" s="21" t="s">
        <v>24</v>
      </c>
      <c r="D218" s="21">
        <f>IFERROR(VLOOKUP(RIT_FUSIONS[[#This Row],[ID]],RIT_ACUM!A:A,1,0),"NOVO")</f>
        <v>46968</v>
      </c>
    </row>
    <row r="219" spans="1:4" hidden="1" x14ac:dyDescent="0.35">
      <c r="A219" s="1">
        <v>46967</v>
      </c>
      <c r="B219" s="2">
        <v>46303</v>
      </c>
      <c r="C219" s="21" t="s">
        <v>24</v>
      </c>
      <c r="D219" s="21">
        <f>IFERROR(VLOOKUP(RIT_FUSIONS[[#This Row],[ID]],RIT_ACUM!A:A,1,0),"NOVO")</f>
        <v>46967</v>
      </c>
    </row>
    <row r="220" spans="1:4" hidden="1" x14ac:dyDescent="0.35">
      <c r="A220" s="1">
        <v>46966</v>
      </c>
      <c r="B220" s="2">
        <v>46303</v>
      </c>
      <c r="C220" s="21" t="s">
        <v>24</v>
      </c>
      <c r="D220" s="21">
        <f>IFERROR(VLOOKUP(RIT_FUSIONS[[#This Row],[ID]],RIT_ACUM!A:A,1,0),"NOVO")</f>
        <v>46966</v>
      </c>
    </row>
    <row r="221" spans="1:4" hidden="1" x14ac:dyDescent="0.35">
      <c r="A221" s="1">
        <v>46965</v>
      </c>
      <c r="B221" s="2">
        <v>46303</v>
      </c>
      <c r="C221" s="21" t="s">
        <v>24</v>
      </c>
      <c r="D221" s="21">
        <f>IFERROR(VLOOKUP(RIT_FUSIONS[[#This Row],[ID]],RIT_ACUM!A:A,1,0),"NOVO")</f>
        <v>46965</v>
      </c>
    </row>
    <row r="222" spans="1:4" hidden="1" x14ac:dyDescent="0.35">
      <c r="A222" s="1">
        <v>46964</v>
      </c>
      <c r="B222" s="2">
        <v>46303</v>
      </c>
      <c r="C222" s="21" t="s">
        <v>24</v>
      </c>
      <c r="D222" s="21">
        <f>IFERROR(VLOOKUP(RIT_FUSIONS[[#This Row],[ID]],RIT_ACUM!A:A,1,0),"NOVO")</f>
        <v>46964</v>
      </c>
    </row>
    <row r="223" spans="1:4" hidden="1" x14ac:dyDescent="0.35">
      <c r="A223" s="1">
        <v>46963</v>
      </c>
      <c r="B223" s="2">
        <v>46303</v>
      </c>
      <c r="C223" s="21" t="s">
        <v>4</v>
      </c>
      <c r="D223" s="21">
        <f>IFERROR(VLOOKUP(RIT_FUSIONS[[#This Row],[ID]],RIT_ACUM!A:A,1,0),"NOVO")</f>
        <v>46963</v>
      </c>
    </row>
    <row r="224" spans="1:4" hidden="1" x14ac:dyDescent="0.35">
      <c r="A224" s="1">
        <v>46962</v>
      </c>
      <c r="B224" s="2">
        <v>46303</v>
      </c>
      <c r="C224" s="21" t="s">
        <v>4</v>
      </c>
      <c r="D224" s="21">
        <f>IFERROR(VLOOKUP(RIT_FUSIONS[[#This Row],[ID]],RIT_ACUM!A:A,1,0),"NOVO")</f>
        <v>46962</v>
      </c>
    </row>
    <row r="225" spans="1:4" hidden="1" x14ac:dyDescent="0.35">
      <c r="A225" s="1">
        <v>46961</v>
      </c>
      <c r="B225" s="2">
        <v>46302</v>
      </c>
      <c r="C225" s="21" t="s">
        <v>17</v>
      </c>
      <c r="D225" s="21">
        <f>IFERROR(VLOOKUP(RIT_FUSIONS[[#This Row],[ID]],RIT_ACUM!A:A,1,0),"NOVO")</f>
        <v>46961</v>
      </c>
    </row>
    <row r="226" spans="1:4" hidden="1" x14ac:dyDescent="0.35">
      <c r="A226" s="1">
        <v>46960</v>
      </c>
      <c r="B226" s="2">
        <v>46302</v>
      </c>
      <c r="C226" s="21" t="s">
        <v>17</v>
      </c>
      <c r="D226" s="21">
        <f>IFERROR(VLOOKUP(RIT_FUSIONS[[#This Row],[ID]],RIT_ACUM!A:A,1,0),"NOVO")</f>
        <v>46960</v>
      </c>
    </row>
    <row r="227" spans="1:4" hidden="1" x14ac:dyDescent="0.35">
      <c r="A227" s="1">
        <v>46956</v>
      </c>
      <c r="B227" s="2">
        <v>46302</v>
      </c>
      <c r="C227" s="21" t="s">
        <v>9</v>
      </c>
      <c r="D227" s="21">
        <f>IFERROR(VLOOKUP(RIT_FUSIONS[[#This Row],[ID]],RIT_ACUM!A:A,1,0),"NOVO")</f>
        <v>46956</v>
      </c>
    </row>
    <row r="228" spans="1:4" hidden="1" x14ac:dyDescent="0.35">
      <c r="A228" s="1">
        <v>46955</v>
      </c>
      <c r="B228" s="2">
        <v>46302</v>
      </c>
      <c r="C228" s="21" t="s">
        <v>3</v>
      </c>
      <c r="D228" s="21">
        <f>IFERROR(VLOOKUP(RIT_FUSIONS[[#This Row],[ID]],RIT_ACUM!A:A,1,0),"NOVO")</f>
        <v>46955</v>
      </c>
    </row>
    <row r="229" spans="1:4" hidden="1" x14ac:dyDescent="0.35">
      <c r="A229" s="1">
        <v>46954</v>
      </c>
      <c r="B229" s="2">
        <v>46302</v>
      </c>
      <c r="C229" s="21" t="s">
        <v>9</v>
      </c>
      <c r="D229" s="21">
        <f>IFERROR(VLOOKUP(RIT_FUSIONS[[#This Row],[ID]],RIT_ACUM!A:A,1,0),"NOVO")</f>
        <v>46954</v>
      </c>
    </row>
    <row r="230" spans="1:4" hidden="1" x14ac:dyDescent="0.35">
      <c r="A230" s="1">
        <v>46953</v>
      </c>
      <c r="B230" s="2">
        <v>46302</v>
      </c>
      <c r="C230" s="21" t="s">
        <v>9</v>
      </c>
      <c r="D230" s="21">
        <f>IFERROR(VLOOKUP(RIT_FUSIONS[[#This Row],[ID]],RIT_ACUM!A:A,1,0),"NOVO")</f>
        <v>46953</v>
      </c>
    </row>
    <row r="231" spans="1:4" hidden="1" x14ac:dyDescent="0.35">
      <c r="A231" s="1">
        <v>46952</v>
      </c>
      <c r="B231" s="2">
        <v>46302</v>
      </c>
      <c r="C231" s="21" t="s">
        <v>7</v>
      </c>
      <c r="D231" s="21">
        <f>IFERROR(VLOOKUP(RIT_FUSIONS[[#This Row],[ID]],RIT_ACUM!A:A,1,0),"NOVO")</f>
        <v>46952</v>
      </c>
    </row>
    <row r="232" spans="1:4" hidden="1" x14ac:dyDescent="0.35">
      <c r="A232" s="1">
        <v>46951</v>
      </c>
      <c r="B232" s="2">
        <v>46302</v>
      </c>
      <c r="C232" s="21" t="s">
        <v>7</v>
      </c>
      <c r="D232" s="21">
        <f>IFERROR(VLOOKUP(RIT_FUSIONS[[#This Row],[ID]],RIT_ACUM!A:A,1,0),"NOVO")</f>
        <v>46951</v>
      </c>
    </row>
    <row r="233" spans="1:4" hidden="1" x14ac:dyDescent="0.35">
      <c r="A233" s="1">
        <v>46950</v>
      </c>
      <c r="B233" s="2">
        <v>46302</v>
      </c>
      <c r="C233" s="21" t="s">
        <v>7</v>
      </c>
      <c r="D233" s="21">
        <f>IFERROR(VLOOKUP(RIT_FUSIONS[[#This Row],[ID]],RIT_ACUM!A:A,1,0),"NOVO")</f>
        <v>46950</v>
      </c>
    </row>
    <row r="234" spans="1:4" hidden="1" x14ac:dyDescent="0.35">
      <c r="A234" s="1">
        <v>46949</v>
      </c>
      <c r="B234" s="2">
        <v>46302</v>
      </c>
      <c r="C234" s="21" t="s">
        <v>3</v>
      </c>
      <c r="D234" s="21">
        <f>IFERROR(VLOOKUP(RIT_FUSIONS[[#This Row],[ID]],RIT_ACUM!A:A,1,0),"NOVO")</f>
        <v>46949</v>
      </c>
    </row>
    <row r="235" spans="1:4" hidden="1" x14ac:dyDescent="0.35">
      <c r="A235" s="1">
        <v>46947</v>
      </c>
      <c r="B235" s="2">
        <v>46302</v>
      </c>
      <c r="C235" s="21" t="s">
        <v>19</v>
      </c>
      <c r="D235" s="21">
        <f>IFERROR(VLOOKUP(RIT_FUSIONS[[#This Row],[ID]],RIT_ACUM!A:A,1,0),"NOVO")</f>
        <v>46947</v>
      </c>
    </row>
    <row r="236" spans="1:4" hidden="1" x14ac:dyDescent="0.35">
      <c r="A236" s="1">
        <v>46945</v>
      </c>
      <c r="B236" s="2">
        <v>46302</v>
      </c>
      <c r="C236" s="21" t="s">
        <v>6</v>
      </c>
      <c r="D236" s="21">
        <f>IFERROR(VLOOKUP(RIT_FUSIONS[[#This Row],[ID]],RIT_ACUM!A:A,1,0),"NOVO")</f>
        <v>46945</v>
      </c>
    </row>
    <row r="237" spans="1:4" hidden="1" x14ac:dyDescent="0.35">
      <c r="A237" s="1">
        <v>46944</v>
      </c>
      <c r="B237" s="2">
        <v>46302</v>
      </c>
      <c r="C237" s="21" t="s">
        <v>6</v>
      </c>
      <c r="D237" s="21">
        <f>IFERROR(VLOOKUP(RIT_FUSIONS[[#This Row],[ID]],RIT_ACUM!A:A,1,0),"NOVO")</f>
        <v>46944</v>
      </c>
    </row>
    <row r="238" spans="1:4" hidden="1" x14ac:dyDescent="0.35">
      <c r="A238" s="1">
        <v>46942</v>
      </c>
      <c r="B238" s="2">
        <v>46302</v>
      </c>
      <c r="C238" s="21" t="s">
        <v>3</v>
      </c>
      <c r="D238" s="21">
        <f>IFERROR(VLOOKUP(RIT_FUSIONS[[#This Row],[ID]],RIT_ACUM!A:A,1,0),"NOVO")</f>
        <v>46942</v>
      </c>
    </row>
    <row r="239" spans="1:4" hidden="1" x14ac:dyDescent="0.35">
      <c r="A239" s="1">
        <v>46913</v>
      </c>
      <c r="B239" s="2">
        <v>46301</v>
      </c>
      <c r="C239" s="21" t="s">
        <v>10</v>
      </c>
      <c r="D239" s="21">
        <f>IFERROR(VLOOKUP(RIT_FUSIONS[[#This Row],[ID]],RIT_ACUM!A:A,1,0),"NOVO")</f>
        <v>46913</v>
      </c>
    </row>
    <row r="240" spans="1:4" hidden="1" x14ac:dyDescent="0.35">
      <c r="A240" s="1">
        <v>46912</v>
      </c>
      <c r="B240" s="2">
        <v>46301</v>
      </c>
      <c r="C240" s="21" t="s">
        <v>10</v>
      </c>
      <c r="D240" s="21">
        <f>IFERROR(VLOOKUP(RIT_FUSIONS[[#This Row],[ID]],RIT_ACUM!A:A,1,0),"NOVO")</f>
        <v>46912</v>
      </c>
    </row>
    <row r="241" spans="1:4" hidden="1" x14ac:dyDescent="0.35">
      <c r="A241" s="1">
        <v>46903</v>
      </c>
      <c r="B241" s="2">
        <v>46301</v>
      </c>
      <c r="C241" s="21" t="s">
        <v>17</v>
      </c>
      <c r="D241" s="21">
        <f>IFERROR(VLOOKUP(RIT_FUSIONS[[#This Row],[ID]],RIT_ACUM!A:A,1,0),"NOVO")</f>
        <v>46903</v>
      </c>
    </row>
    <row r="242" spans="1:4" hidden="1" x14ac:dyDescent="0.35">
      <c r="A242" s="1">
        <v>46902</v>
      </c>
      <c r="B242" s="2">
        <v>46301</v>
      </c>
      <c r="C242" s="21" t="s">
        <v>17</v>
      </c>
      <c r="D242" s="21">
        <f>IFERROR(VLOOKUP(RIT_FUSIONS[[#This Row],[ID]],RIT_ACUM!A:A,1,0),"NOVO")</f>
        <v>46902</v>
      </c>
    </row>
    <row r="243" spans="1:4" hidden="1" x14ac:dyDescent="0.35">
      <c r="A243" s="1">
        <v>46901</v>
      </c>
      <c r="B243" s="2">
        <v>46301</v>
      </c>
      <c r="C243" s="21" t="s">
        <v>24</v>
      </c>
      <c r="D243" s="21">
        <f>IFERROR(VLOOKUP(RIT_FUSIONS[[#This Row],[ID]],RIT_ACUM!A:A,1,0),"NOVO")</f>
        <v>46901</v>
      </c>
    </row>
    <row r="244" spans="1:4" hidden="1" x14ac:dyDescent="0.35">
      <c r="A244" s="1">
        <v>46900</v>
      </c>
      <c r="B244" s="2">
        <v>46301</v>
      </c>
      <c r="C244" s="21" t="s">
        <v>21</v>
      </c>
      <c r="D244" s="21">
        <f>IFERROR(VLOOKUP(RIT_FUSIONS[[#This Row],[ID]],RIT_ACUM!A:A,1,0),"NOVO")</f>
        <v>46900</v>
      </c>
    </row>
    <row r="245" spans="1:4" hidden="1" x14ac:dyDescent="0.35">
      <c r="A245" s="1">
        <v>46899</v>
      </c>
      <c r="B245" s="2">
        <v>46301</v>
      </c>
      <c r="C245" s="21" t="s">
        <v>21</v>
      </c>
      <c r="D245" s="21">
        <f>IFERROR(VLOOKUP(RIT_FUSIONS[[#This Row],[ID]],RIT_ACUM!A:A,1,0),"NOVO")</f>
        <v>46899</v>
      </c>
    </row>
    <row r="246" spans="1:4" hidden="1" x14ac:dyDescent="0.35">
      <c r="A246" s="1">
        <v>46898</v>
      </c>
      <c r="B246" s="2">
        <v>46301</v>
      </c>
      <c r="C246" s="21" t="s">
        <v>21</v>
      </c>
      <c r="D246" s="21">
        <f>IFERROR(VLOOKUP(RIT_FUSIONS[[#This Row],[ID]],RIT_ACUM!A:A,1,0),"NOVO")</f>
        <v>46898</v>
      </c>
    </row>
    <row r="247" spans="1:4" hidden="1" x14ac:dyDescent="0.35">
      <c r="A247" s="1">
        <v>46897</v>
      </c>
      <c r="B247" s="2">
        <v>46301</v>
      </c>
      <c r="C247" s="21" t="s">
        <v>21</v>
      </c>
      <c r="D247" s="21">
        <f>IFERROR(VLOOKUP(RIT_FUSIONS[[#This Row],[ID]],RIT_ACUM!A:A,1,0),"NOVO")</f>
        <v>46897</v>
      </c>
    </row>
    <row r="248" spans="1:4" hidden="1" x14ac:dyDescent="0.35">
      <c r="A248" s="1">
        <v>46896</v>
      </c>
      <c r="B248" s="2">
        <v>46301</v>
      </c>
      <c r="C248" s="21" t="s">
        <v>3</v>
      </c>
      <c r="D248" s="21">
        <f>IFERROR(VLOOKUP(RIT_FUSIONS[[#This Row],[ID]],RIT_ACUM!A:A,1,0),"NOVO")</f>
        <v>46896</v>
      </c>
    </row>
    <row r="249" spans="1:4" hidden="1" x14ac:dyDescent="0.35">
      <c r="A249" s="1">
        <v>46895</v>
      </c>
      <c r="B249" s="2">
        <v>46301</v>
      </c>
      <c r="C249" s="21" t="s">
        <v>22</v>
      </c>
      <c r="D249" s="21">
        <f>IFERROR(VLOOKUP(RIT_FUSIONS[[#This Row],[ID]],RIT_ACUM!A:A,1,0),"NOVO")</f>
        <v>46895</v>
      </c>
    </row>
    <row r="250" spans="1:4" hidden="1" x14ac:dyDescent="0.35">
      <c r="A250" s="1">
        <v>46894</v>
      </c>
      <c r="B250" s="2">
        <v>46301</v>
      </c>
      <c r="C250" s="21" t="s">
        <v>22</v>
      </c>
      <c r="D250" s="21">
        <f>IFERROR(VLOOKUP(RIT_FUSIONS[[#This Row],[ID]],RIT_ACUM!A:A,1,0),"NOVO")</f>
        <v>46894</v>
      </c>
    </row>
    <row r="251" spans="1:4" hidden="1" x14ac:dyDescent="0.35">
      <c r="A251" s="1">
        <v>46893</v>
      </c>
      <c r="B251" s="2">
        <v>46301</v>
      </c>
      <c r="C251" s="21" t="s">
        <v>22</v>
      </c>
      <c r="D251" s="21">
        <f>IFERROR(VLOOKUP(RIT_FUSIONS[[#This Row],[ID]],RIT_ACUM!A:A,1,0),"NOVO")</f>
        <v>46893</v>
      </c>
    </row>
    <row r="252" spans="1:4" hidden="1" x14ac:dyDescent="0.35">
      <c r="A252" s="1">
        <v>46892</v>
      </c>
      <c r="B252" s="2">
        <v>46301</v>
      </c>
      <c r="C252" s="21" t="s">
        <v>3</v>
      </c>
      <c r="D252" s="21">
        <f>IFERROR(VLOOKUP(RIT_FUSIONS[[#This Row],[ID]],RIT_ACUM!A:A,1,0),"NOVO")</f>
        <v>46892</v>
      </c>
    </row>
    <row r="253" spans="1:4" hidden="1" x14ac:dyDescent="0.35">
      <c r="A253" s="1">
        <v>46890</v>
      </c>
      <c r="B253" s="2">
        <v>46301</v>
      </c>
      <c r="C253" s="21" t="s">
        <v>3</v>
      </c>
      <c r="D253" s="21">
        <f>IFERROR(VLOOKUP(RIT_FUSIONS[[#This Row],[ID]],RIT_ACUM!A:A,1,0),"NOVO")</f>
        <v>46890</v>
      </c>
    </row>
    <row r="254" spans="1:4" hidden="1" x14ac:dyDescent="0.35">
      <c r="A254" s="1">
        <v>46888</v>
      </c>
      <c r="B254" s="2">
        <v>46301</v>
      </c>
      <c r="C254" s="21" t="s">
        <v>21</v>
      </c>
      <c r="D254" s="21">
        <f>IFERROR(VLOOKUP(RIT_FUSIONS[[#This Row],[ID]],RIT_ACUM!A:A,1,0),"NOVO")</f>
        <v>46888</v>
      </c>
    </row>
    <row r="255" spans="1:4" hidden="1" x14ac:dyDescent="0.35">
      <c r="A255" s="1">
        <v>46882</v>
      </c>
      <c r="B255" s="2">
        <v>46301</v>
      </c>
      <c r="C255" s="21" t="s">
        <v>3</v>
      </c>
      <c r="D255" s="21">
        <f>IFERROR(VLOOKUP(RIT_FUSIONS[[#This Row],[ID]],RIT_ACUM!A:A,1,0),"NOVO")</f>
        <v>46882</v>
      </c>
    </row>
    <row r="256" spans="1:4" hidden="1" x14ac:dyDescent="0.35">
      <c r="A256" s="1">
        <v>46881</v>
      </c>
      <c r="B256" s="2">
        <v>46301</v>
      </c>
      <c r="C256" s="21" t="s">
        <v>21</v>
      </c>
      <c r="D256" s="21">
        <f>IFERROR(VLOOKUP(RIT_FUSIONS[[#This Row],[ID]],RIT_ACUM!A:A,1,0),"NOVO")</f>
        <v>46881</v>
      </c>
    </row>
    <row r="257" spans="1:4" hidden="1" x14ac:dyDescent="0.35">
      <c r="A257" s="1">
        <v>46879</v>
      </c>
      <c r="B257" s="2">
        <v>46301</v>
      </c>
      <c r="C257" s="21" t="s">
        <v>9</v>
      </c>
      <c r="D257" s="21">
        <f>IFERROR(VLOOKUP(RIT_FUSIONS[[#This Row],[ID]],RIT_ACUM!A:A,1,0),"NOVO")</f>
        <v>46879</v>
      </c>
    </row>
    <row r="258" spans="1:4" hidden="1" x14ac:dyDescent="0.35">
      <c r="A258" s="1">
        <v>46878</v>
      </c>
      <c r="B258" s="2">
        <v>46301</v>
      </c>
      <c r="C258" s="21" t="s">
        <v>9</v>
      </c>
      <c r="D258" s="21">
        <f>IFERROR(VLOOKUP(RIT_FUSIONS[[#This Row],[ID]],RIT_ACUM!A:A,1,0),"NOVO")</f>
        <v>46878</v>
      </c>
    </row>
    <row r="259" spans="1:4" hidden="1" x14ac:dyDescent="0.35">
      <c r="A259" s="1">
        <v>46877</v>
      </c>
      <c r="B259" s="2">
        <v>46301</v>
      </c>
      <c r="C259" s="21" t="s">
        <v>3</v>
      </c>
      <c r="D259" s="21">
        <f>IFERROR(VLOOKUP(RIT_FUSIONS[[#This Row],[ID]],RIT_ACUM!A:A,1,0),"NOVO")</f>
        <v>46877</v>
      </c>
    </row>
    <row r="260" spans="1:4" hidden="1" x14ac:dyDescent="0.35">
      <c r="A260" s="1">
        <v>46873</v>
      </c>
      <c r="B260" s="2">
        <v>46301</v>
      </c>
      <c r="C260" s="21" t="s">
        <v>21</v>
      </c>
      <c r="D260" s="21">
        <f>IFERROR(VLOOKUP(RIT_FUSIONS[[#This Row],[ID]],RIT_ACUM!A:A,1,0),"NOVO")</f>
        <v>46873</v>
      </c>
    </row>
    <row r="261" spans="1:4" hidden="1" x14ac:dyDescent="0.35">
      <c r="A261" s="1">
        <v>46871</v>
      </c>
      <c r="B261" s="2">
        <v>46301</v>
      </c>
      <c r="C261" s="21" t="s">
        <v>24</v>
      </c>
      <c r="D261" s="21">
        <f>IFERROR(VLOOKUP(RIT_FUSIONS[[#This Row],[ID]],RIT_ACUM!A:A,1,0),"NOVO")</f>
        <v>46871</v>
      </c>
    </row>
    <row r="262" spans="1:4" hidden="1" x14ac:dyDescent="0.35">
      <c r="A262" s="1">
        <v>46870</v>
      </c>
      <c r="B262" s="2">
        <v>46301</v>
      </c>
      <c r="C262" s="21" t="s">
        <v>24</v>
      </c>
      <c r="D262" s="21">
        <f>IFERROR(VLOOKUP(RIT_FUSIONS[[#This Row],[ID]],RIT_ACUM!A:A,1,0),"NOVO")</f>
        <v>46870</v>
      </c>
    </row>
    <row r="263" spans="1:4" hidden="1" x14ac:dyDescent="0.35">
      <c r="A263" s="1">
        <v>46869</v>
      </c>
      <c r="B263" s="2">
        <v>46301</v>
      </c>
      <c r="C263" s="21" t="s">
        <v>24</v>
      </c>
      <c r="D263" s="21">
        <f>IFERROR(VLOOKUP(RIT_FUSIONS[[#This Row],[ID]],RIT_ACUM!A:A,1,0),"NOVO")</f>
        <v>46869</v>
      </c>
    </row>
    <row r="264" spans="1:4" hidden="1" x14ac:dyDescent="0.35">
      <c r="A264" s="1">
        <v>46867</v>
      </c>
      <c r="B264" s="2">
        <v>46301</v>
      </c>
      <c r="C264" s="21" t="s">
        <v>19</v>
      </c>
      <c r="D264" s="21">
        <f>IFERROR(VLOOKUP(RIT_FUSIONS[[#This Row],[ID]],RIT_ACUM!A:A,1,0),"NOVO")</f>
        <v>46867</v>
      </c>
    </row>
    <row r="265" spans="1:4" hidden="1" x14ac:dyDescent="0.35">
      <c r="A265" s="1">
        <v>46865</v>
      </c>
      <c r="B265" s="2">
        <v>46301</v>
      </c>
      <c r="C265" s="21" t="s">
        <v>3</v>
      </c>
      <c r="D265" s="21">
        <f>IFERROR(VLOOKUP(RIT_FUSIONS[[#This Row],[ID]],RIT_ACUM!A:A,1,0),"NOVO")</f>
        <v>46865</v>
      </c>
    </row>
    <row r="266" spans="1:4" hidden="1" x14ac:dyDescent="0.35">
      <c r="A266" s="1">
        <v>46864</v>
      </c>
      <c r="B266" s="2">
        <v>46301</v>
      </c>
      <c r="C266" s="21" t="s">
        <v>3</v>
      </c>
      <c r="D266" s="21">
        <f>IFERROR(VLOOKUP(RIT_FUSIONS[[#This Row],[ID]],RIT_ACUM!A:A,1,0),"NOVO")</f>
        <v>46864</v>
      </c>
    </row>
    <row r="267" spans="1:4" hidden="1" x14ac:dyDescent="0.35">
      <c r="A267" s="1">
        <v>46863</v>
      </c>
      <c r="B267" s="2">
        <v>46301</v>
      </c>
      <c r="C267" s="21" t="s">
        <v>28</v>
      </c>
      <c r="D267" s="21">
        <f>IFERROR(VLOOKUP(RIT_FUSIONS[[#This Row],[ID]],RIT_ACUM!A:A,1,0),"NOVO")</f>
        <v>46863</v>
      </c>
    </row>
    <row r="268" spans="1:4" hidden="1" x14ac:dyDescent="0.35">
      <c r="A268" s="1">
        <v>46862</v>
      </c>
      <c r="B268" s="2">
        <v>46301</v>
      </c>
      <c r="C268" s="21" t="s">
        <v>28</v>
      </c>
      <c r="D268" s="21">
        <f>IFERROR(VLOOKUP(RIT_FUSIONS[[#This Row],[ID]],RIT_ACUM!A:A,1,0),"NOVO")</f>
        <v>46862</v>
      </c>
    </row>
    <row r="269" spans="1:4" hidden="1" x14ac:dyDescent="0.35">
      <c r="A269" s="1">
        <v>46861</v>
      </c>
      <c r="B269" s="2">
        <v>46301</v>
      </c>
      <c r="C269" s="21" t="s">
        <v>28</v>
      </c>
      <c r="D269" s="21">
        <f>IFERROR(VLOOKUP(RIT_FUSIONS[[#This Row],[ID]],RIT_ACUM!A:A,1,0),"NOVO")</f>
        <v>46861</v>
      </c>
    </row>
    <row r="270" spans="1:4" hidden="1" x14ac:dyDescent="0.35">
      <c r="A270" s="1">
        <v>46860</v>
      </c>
      <c r="B270" s="2">
        <v>46301</v>
      </c>
      <c r="C270" s="21" t="s">
        <v>28</v>
      </c>
      <c r="D270" s="21">
        <f>IFERROR(VLOOKUP(RIT_FUSIONS[[#This Row],[ID]],RIT_ACUM!A:A,1,0),"NOVO")</f>
        <v>46860</v>
      </c>
    </row>
    <row r="271" spans="1:4" hidden="1" x14ac:dyDescent="0.35">
      <c r="A271" s="1">
        <v>46854</v>
      </c>
      <c r="B271" s="2">
        <v>46301</v>
      </c>
      <c r="C271" s="21" t="s">
        <v>24</v>
      </c>
      <c r="D271" s="21">
        <f>IFERROR(VLOOKUP(RIT_FUSIONS[[#This Row],[ID]],RIT_ACUM!A:A,1,0),"NOVO")</f>
        <v>46854</v>
      </c>
    </row>
    <row r="272" spans="1:4" hidden="1" x14ac:dyDescent="0.35">
      <c r="A272" s="1">
        <v>46853</v>
      </c>
      <c r="B272" s="2">
        <v>46301</v>
      </c>
      <c r="C272" s="21" t="s">
        <v>24</v>
      </c>
      <c r="D272" s="21">
        <f>IFERROR(VLOOKUP(RIT_FUSIONS[[#This Row],[ID]],RIT_ACUM!A:A,1,0),"NOVO")</f>
        <v>46853</v>
      </c>
    </row>
    <row r="273" spans="1:4" hidden="1" x14ac:dyDescent="0.35">
      <c r="A273" s="1">
        <v>46852</v>
      </c>
      <c r="B273" s="2">
        <v>46301</v>
      </c>
      <c r="C273" s="21" t="s">
        <v>24</v>
      </c>
      <c r="D273" s="21">
        <f>IFERROR(VLOOKUP(RIT_FUSIONS[[#This Row],[ID]],RIT_ACUM!A:A,1,0),"NOVO")</f>
        <v>46852</v>
      </c>
    </row>
    <row r="274" spans="1:4" hidden="1" x14ac:dyDescent="0.35">
      <c r="A274" s="1">
        <v>46851</v>
      </c>
      <c r="B274" s="2">
        <v>46301</v>
      </c>
      <c r="C274" s="21" t="s">
        <v>24</v>
      </c>
      <c r="D274" s="21">
        <f>IFERROR(VLOOKUP(RIT_FUSIONS[[#This Row],[ID]],RIT_ACUM!A:A,1,0),"NOVO")</f>
        <v>46851</v>
      </c>
    </row>
    <row r="275" spans="1:4" hidden="1" x14ac:dyDescent="0.35">
      <c r="A275" s="1">
        <v>46850</v>
      </c>
      <c r="B275" s="2">
        <v>46301</v>
      </c>
      <c r="C275" s="21" t="s">
        <v>24</v>
      </c>
      <c r="D275" s="21">
        <f>IFERROR(VLOOKUP(RIT_FUSIONS[[#This Row],[ID]],RIT_ACUM!A:A,1,0),"NOVO")</f>
        <v>46850</v>
      </c>
    </row>
    <row r="276" spans="1:4" hidden="1" x14ac:dyDescent="0.35">
      <c r="A276" s="1">
        <v>46849</v>
      </c>
      <c r="B276" s="2">
        <v>46301</v>
      </c>
      <c r="C276" s="21" t="s">
        <v>3</v>
      </c>
      <c r="D276" s="21">
        <f>IFERROR(VLOOKUP(RIT_FUSIONS[[#This Row],[ID]],RIT_ACUM!A:A,1,0),"NOVO")</f>
        <v>46849</v>
      </c>
    </row>
    <row r="277" spans="1:4" hidden="1" x14ac:dyDescent="0.35">
      <c r="A277" s="1">
        <v>46848</v>
      </c>
      <c r="B277" s="2">
        <v>46301</v>
      </c>
      <c r="C277" s="21" t="s">
        <v>3</v>
      </c>
      <c r="D277" s="21">
        <f>IFERROR(VLOOKUP(RIT_FUSIONS[[#This Row],[ID]],RIT_ACUM!A:A,1,0),"NOVO")</f>
        <v>46848</v>
      </c>
    </row>
    <row r="278" spans="1:4" hidden="1" x14ac:dyDescent="0.35">
      <c r="A278" s="1">
        <v>46847</v>
      </c>
      <c r="B278" s="2">
        <v>46301</v>
      </c>
      <c r="C278" s="21" t="s">
        <v>9</v>
      </c>
      <c r="D278" s="21">
        <f>IFERROR(VLOOKUP(RIT_FUSIONS[[#This Row],[ID]],RIT_ACUM!A:A,1,0),"NOVO")</f>
        <v>46847</v>
      </c>
    </row>
    <row r="279" spans="1:4" hidden="1" x14ac:dyDescent="0.35">
      <c r="A279" s="1">
        <v>46846</v>
      </c>
      <c r="B279" s="2">
        <v>46301</v>
      </c>
      <c r="C279" s="21" t="s">
        <v>9</v>
      </c>
      <c r="D279" s="21">
        <f>IFERROR(VLOOKUP(RIT_FUSIONS[[#This Row],[ID]],RIT_ACUM!A:A,1,0),"NOVO")</f>
        <v>46846</v>
      </c>
    </row>
    <row r="280" spans="1:4" hidden="1" x14ac:dyDescent="0.35">
      <c r="A280" s="1">
        <v>46845</v>
      </c>
      <c r="B280" s="2">
        <v>46301</v>
      </c>
      <c r="C280" s="21" t="s">
        <v>9</v>
      </c>
      <c r="D280" s="21">
        <f>IFERROR(VLOOKUP(RIT_FUSIONS[[#This Row],[ID]],RIT_ACUM!A:A,1,0),"NOVO")</f>
        <v>46845</v>
      </c>
    </row>
    <row r="281" spans="1:4" hidden="1" x14ac:dyDescent="0.35">
      <c r="A281" s="1">
        <v>46844</v>
      </c>
      <c r="B281" s="2">
        <v>46301</v>
      </c>
      <c r="C281" s="21" t="s">
        <v>9</v>
      </c>
      <c r="D281" s="21">
        <f>IFERROR(VLOOKUP(RIT_FUSIONS[[#This Row],[ID]],RIT_ACUM!A:A,1,0),"NOVO")</f>
        <v>46844</v>
      </c>
    </row>
    <row r="282" spans="1:4" hidden="1" x14ac:dyDescent="0.35">
      <c r="A282" s="1">
        <v>46843</v>
      </c>
      <c r="B282" s="2">
        <v>46301</v>
      </c>
      <c r="C282" s="21" t="s">
        <v>9</v>
      </c>
      <c r="D282" s="21">
        <f>IFERROR(VLOOKUP(RIT_FUSIONS[[#This Row],[ID]],RIT_ACUM!A:A,1,0),"NOVO")</f>
        <v>46843</v>
      </c>
    </row>
    <row r="283" spans="1:4" hidden="1" x14ac:dyDescent="0.35">
      <c r="A283" s="1">
        <v>46842</v>
      </c>
      <c r="B283" s="2">
        <v>46301</v>
      </c>
      <c r="C283" s="21" t="s">
        <v>9</v>
      </c>
      <c r="D283" s="21">
        <f>IFERROR(VLOOKUP(RIT_FUSIONS[[#This Row],[ID]],RIT_ACUM!A:A,1,0),"NOVO")</f>
        <v>46842</v>
      </c>
    </row>
    <row r="284" spans="1:4" hidden="1" x14ac:dyDescent="0.35">
      <c r="A284" s="1">
        <v>46841</v>
      </c>
      <c r="B284" s="2">
        <v>46300</v>
      </c>
      <c r="C284" s="21" t="s">
        <v>3</v>
      </c>
      <c r="D284" s="21">
        <f>IFERROR(VLOOKUP(RIT_FUSIONS[[#This Row],[ID]],RIT_ACUM!A:A,1,0),"NOVO")</f>
        <v>46841</v>
      </c>
    </row>
    <row r="285" spans="1:4" hidden="1" x14ac:dyDescent="0.35">
      <c r="A285" s="1">
        <v>46840</v>
      </c>
      <c r="B285" s="2">
        <v>46300</v>
      </c>
      <c r="C285" s="21" t="s">
        <v>10</v>
      </c>
      <c r="D285" s="21">
        <f>IFERROR(VLOOKUP(RIT_FUSIONS[[#This Row],[ID]],RIT_ACUM!A:A,1,0),"NOVO")</f>
        <v>46840</v>
      </c>
    </row>
    <row r="286" spans="1:4" hidden="1" x14ac:dyDescent="0.35">
      <c r="A286" s="1">
        <v>46839</v>
      </c>
      <c r="B286" s="2">
        <v>46300</v>
      </c>
      <c r="C286" s="21" t="s">
        <v>10</v>
      </c>
      <c r="D286" s="21">
        <f>IFERROR(VLOOKUP(RIT_FUSIONS[[#This Row],[ID]],RIT_ACUM!A:A,1,0),"NOVO")</f>
        <v>46839</v>
      </c>
    </row>
    <row r="287" spans="1:4" hidden="1" x14ac:dyDescent="0.35">
      <c r="A287" s="1">
        <v>46838</v>
      </c>
      <c r="B287" s="2">
        <v>46300</v>
      </c>
      <c r="C287" s="21" t="s">
        <v>11</v>
      </c>
      <c r="D287" s="21">
        <f>IFERROR(VLOOKUP(RIT_FUSIONS[[#This Row],[ID]],RIT_ACUM!A:A,1,0),"NOVO")</f>
        <v>46838</v>
      </c>
    </row>
    <row r="288" spans="1:4" hidden="1" x14ac:dyDescent="0.35">
      <c r="A288" s="1">
        <v>46836</v>
      </c>
      <c r="B288" s="2">
        <v>46300</v>
      </c>
      <c r="C288" s="21" t="s">
        <v>17</v>
      </c>
      <c r="D288" s="21">
        <f>IFERROR(VLOOKUP(RIT_FUSIONS[[#This Row],[ID]],RIT_ACUM!A:A,1,0),"NOVO")</f>
        <v>46836</v>
      </c>
    </row>
    <row r="289" spans="1:4" hidden="1" x14ac:dyDescent="0.35">
      <c r="A289" s="1">
        <v>46835</v>
      </c>
      <c r="B289" s="2">
        <v>46299</v>
      </c>
      <c r="C289" s="21" t="s">
        <v>17</v>
      </c>
      <c r="D289" s="21">
        <f>IFERROR(VLOOKUP(RIT_FUSIONS[[#This Row],[ID]],RIT_ACUM!A:A,1,0),"NOVO")</f>
        <v>46835</v>
      </c>
    </row>
    <row r="290" spans="1:4" hidden="1" x14ac:dyDescent="0.35">
      <c r="A290" s="1">
        <v>46834</v>
      </c>
      <c r="B290" s="2">
        <v>46299</v>
      </c>
      <c r="C290" s="21" t="s">
        <v>17</v>
      </c>
      <c r="D290" s="21">
        <f>IFERROR(VLOOKUP(RIT_FUSIONS[[#This Row],[ID]],RIT_ACUM!A:A,1,0),"NOVO")</f>
        <v>46834</v>
      </c>
    </row>
    <row r="291" spans="1:4" hidden="1" x14ac:dyDescent="0.35">
      <c r="A291" s="1">
        <v>46828</v>
      </c>
      <c r="B291" s="2">
        <v>46298</v>
      </c>
      <c r="C291" s="21" t="s">
        <v>17</v>
      </c>
      <c r="D291" s="21">
        <f>IFERROR(VLOOKUP(RIT_FUSIONS[[#This Row],[ID]],RIT_ACUM!A:A,1,0),"NOVO")</f>
        <v>46828</v>
      </c>
    </row>
    <row r="292" spans="1:4" hidden="1" x14ac:dyDescent="0.35">
      <c r="A292" s="1">
        <v>46827</v>
      </c>
      <c r="B292" s="2">
        <v>46298</v>
      </c>
      <c r="C292" s="21" t="s">
        <v>17</v>
      </c>
      <c r="D292" s="21">
        <f>IFERROR(VLOOKUP(RIT_FUSIONS[[#This Row],[ID]],RIT_ACUM!A:A,1,0),"NOVO")</f>
        <v>46827</v>
      </c>
    </row>
    <row r="293" spans="1:4" hidden="1" x14ac:dyDescent="0.35">
      <c r="A293" s="1">
        <v>46826</v>
      </c>
      <c r="B293" s="2">
        <v>46298</v>
      </c>
      <c r="C293" s="21" t="s">
        <v>17</v>
      </c>
      <c r="D293" s="21">
        <f>IFERROR(VLOOKUP(RIT_FUSIONS[[#This Row],[ID]],RIT_ACUM!A:A,1,0),"NOVO")</f>
        <v>46826</v>
      </c>
    </row>
    <row r="294" spans="1:4" hidden="1" x14ac:dyDescent="0.35">
      <c r="A294" s="1">
        <v>46825</v>
      </c>
      <c r="B294" s="2">
        <v>46298</v>
      </c>
      <c r="C294" s="21" t="s">
        <v>17</v>
      </c>
      <c r="D294" s="21">
        <f>IFERROR(VLOOKUP(RIT_FUSIONS[[#This Row],[ID]],RIT_ACUM!A:A,1,0),"NOVO")</f>
        <v>46825</v>
      </c>
    </row>
    <row r="295" spans="1:4" hidden="1" x14ac:dyDescent="0.35">
      <c r="A295" s="1">
        <v>46824</v>
      </c>
      <c r="B295" s="2">
        <v>46298</v>
      </c>
      <c r="C295" s="21" t="s">
        <v>4</v>
      </c>
      <c r="D295" s="21">
        <f>IFERROR(VLOOKUP(RIT_FUSIONS[[#This Row],[ID]],RIT_ACUM!A:A,1,0),"NOVO")</f>
        <v>46824</v>
      </c>
    </row>
    <row r="296" spans="1:4" hidden="1" x14ac:dyDescent="0.35">
      <c r="A296" s="1">
        <v>46823</v>
      </c>
      <c r="B296" s="2">
        <v>46298</v>
      </c>
      <c r="C296" s="21" t="s">
        <v>4</v>
      </c>
      <c r="D296" s="21">
        <f>IFERROR(VLOOKUP(RIT_FUSIONS[[#This Row],[ID]],RIT_ACUM!A:A,1,0),"NOVO")</f>
        <v>46823</v>
      </c>
    </row>
    <row r="297" spans="1:4" hidden="1" x14ac:dyDescent="0.35">
      <c r="A297" s="1">
        <v>46822</v>
      </c>
      <c r="B297" s="2">
        <v>46297</v>
      </c>
      <c r="C297" s="21" t="s">
        <v>3</v>
      </c>
      <c r="D297" s="21">
        <f>IFERROR(VLOOKUP(RIT_FUSIONS[[#This Row],[ID]],RIT_ACUM!A:A,1,0),"NOVO")</f>
        <v>46822</v>
      </c>
    </row>
    <row r="298" spans="1:4" hidden="1" x14ac:dyDescent="0.35">
      <c r="A298" s="1">
        <v>46821</v>
      </c>
      <c r="B298" s="2">
        <v>46297</v>
      </c>
      <c r="C298" s="21" t="s">
        <v>28</v>
      </c>
      <c r="D298" s="21">
        <f>IFERROR(VLOOKUP(RIT_FUSIONS[[#This Row],[ID]],RIT_ACUM!A:A,1,0),"NOVO")</f>
        <v>46821</v>
      </c>
    </row>
    <row r="299" spans="1:4" hidden="1" x14ac:dyDescent="0.35">
      <c r="A299" s="1">
        <v>46820</v>
      </c>
      <c r="B299" s="2">
        <v>46297</v>
      </c>
      <c r="C299" s="21" t="s">
        <v>28</v>
      </c>
      <c r="D299" s="21">
        <f>IFERROR(VLOOKUP(RIT_FUSIONS[[#This Row],[ID]],RIT_ACUM!A:A,1,0),"NOVO")</f>
        <v>46820</v>
      </c>
    </row>
    <row r="300" spans="1:4" hidden="1" x14ac:dyDescent="0.35">
      <c r="A300" s="1">
        <v>46804</v>
      </c>
      <c r="B300" s="2">
        <v>46297</v>
      </c>
      <c r="C300" s="21" t="s">
        <v>22</v>
      </c>
      <c r="D300" s="21">
        <f>IFERROR(VLOOKUP(RIT_FUSIONS[[#This Row],[ID]],RIT_ACUM!A:A,1,0),"NOVO")</f>
        <v>46804</v>
      </c>
    </row>
    <row r="301" spans="1:4" hidden="1" x14ac:dyDescent="0.35">
      <c r="A301" s="1">
        <v>46803</v>
      </c>
      <c r="B301" s="2">
        <v>46297</v>
      </c>
      <c r="C301" s="21" t="s">
        <v>22</v>
      </c>
      <c r="D301" s="21">
        <f>IFERROR(VLOOKUP(RIT_FUSIONS[[#This Row],[ID]],RIT_ACUM!A:A,1,0),"NOVO")</f>
        <v>46803</v>
      </c>
    </row>
    <row r="302" spans="1:4" hidden="1" x14ac:dyDescent="0.35">
      <c r="A302" s="1">
        <v>46802</v>
      </c>
      <c r="B302" s="2">
        <v>46297</v>
      </c>
      <c r="C302" s="21" t="s">
        <v>22</v>
      </c>
      <c r="D302" s="21">
        <f>IFERROR(VLOOKUP(RIT_FUSIONS[[#This Row],[ID]],RIT_ACUM!A:A,1,0),"NOVO")</f>
        <v>46802</v>
      </c>
    </row>
    <row r="303" spans="1:4" hidden="1" x14ac:dyDescent="0.35">
      <c r="A303" s="1">
        <v>46801</v>
      </c>
      <c r="B303" s="2">
        <v>46297</v>
      </c>
      <c r="C303" s="21" t="s">
        <v>22</v>
      </c>
      <c r="D303" s="21">
        <f>IFERROR(VLOOKUP(RIT_FUSIONS[[#This Row],[ID]],RIT_ACUM!A:A,1,0),"NOVO")</f>
        <v>46801</v>
      </c>
    </row>
    <row r="304" spans="1:4" hidden="1" x14ac:dyDescent="0.35">
      <c r="A304" s="1">
        <v>46796</v>
      </c>
      <c r="B304" s="2">
        <v>46297</v>
      </c>
      <c r="C304" s="21" t="s">
        <v>3</v>
      </c>
      <c r="D304" s="21">
        <f>IFERROR(VLOOKUP(RIT_FUSIONS[[#This Row],[ID]],RIT_ACUM!A:A,1,0),"NOVO")</f>
        <v>46796</v>
      </c>
    </row>
    <row r="305" spans="1:4" hidden="1" x14ac:dyDescent="0.35">
      <c r="A305" s="1">
        <v>46794</v>
      </c>
      <c r="B305" s="2">
        <v>46297</v>
      </c>
      <c r="C305" s="21" t="s">
        <v>28</v>
      </c>
      <c r="D305" s="21">
        <f>IFERROR(VLOOKUP(RIT_FUSIONS[[#This Row],[ID]],RIT_ACUM!A:A,1,0),"NOVO")</f>
        <v>46794</v>
      </c>
    </row>
    <row r="306" spans="1:4" hidden="1" x14ac:dyDescent="0.35">
      <c r="A306" s="1">
        <v>46793</v>
      </c>
      <c r="B306" s="2">
        <v>46297</v>
      </c>
      <c r="C306" s="21" t="s">
        <v>28</v>
      </c>
      <c r="D306" s="21">
        <f>IFERROR(VLOOKUP(RIT_FUSIONS[[#This Row],[ID]],RIT_ACUM!A:A,1,0),"NOVO")</f>
        <v>46793</v>
      </c>
    </row>
    <row r="307" spans="1:4" hidden="1" x14ac:dyDescent="0.35">
      <c r="A307" s="1">
        <v>46792</v>
      </c>
      <c r="B307" s="2">
        <v>46297</v>
      </c>
      <c r="C307" s="21" t="s">
        <v>28</v>
      </c>
      <c r="D307" s="21">
        <f>IFERROR(VLOOKUP(RIT_FUSIONS[[#This Row],[ID]],RIT_ACUM!A:A,1,0),"NOVO")</f>
        <v>46792</v>
      </c>
    </row>
    <row r="308" spans="1:4" hidden="1" x14ac:dyDescent="0.35">
      <c r="A308" s="1">
        <v>46791</v>
      </c>
      <c r="B308" s="2">
        <v>46297</v>
      </c>
      <c r="C308" s="21" t="s">
        <v>3</v>
      </c>
      <c r="D308" s="21">
        <f>IFERROR(VLOOKUP(RIT_FUSIONS[[#This Row],[ID]],RIT_ACUM!A:A,1,0),"NOVO")</f>
        <v>46791</v>
      </c>
    </row>
    <row r="309" spans="1:4" hidden="1" x14ac:dyDescent="0.35">
      <c r="A309" s="1">
        <v>46790</v>
      </c>
      <c r="B309" s="2">
        <v>46297</v>
      </c>
      <c r="C309" s="21" t="s">
        <v>9</v>
      </c>
      <c r="D309" s="21">
        <f>IFERROR(VLOOKUP(RIT_FUSIONS[[#This Row],[ID]],RIT_ACUM!A:A,1,0),"NOVO")</f>
        <v>46790</v>
      </c>
    </row>
    <row r="310" spans="1:4" hidden="1" x14ac:dyDescent="0.35">
      <c r="A310" s="1">
        <v>46788</v>
      </c>
      <c r="B310" s="2">
        <v>46297</v>
      </c>
      <c r="C310" s="21" t="s">
        <v>9</v>
      </c>
      <c r="D310" s="21">
        <f>IFERROR(VLOOKUP(RIT_FUSIONS[[#This Row],[ID]],RIT_ACUM!A:A,1,0),"NOVO")</f>
        <v>46788</v>
      </c>
    </row>
    <row r="311" spans="1:4" hidden="1" x14ac:dyDescent="0.35">
      <c r="A311" s="1">
        <v>46787</v>
      </c>
      <c r="B311" s="2">
        <v>46297</v>
      </c>
      <c r="C311" s="21" t="s">
        <v>3</v>
      </c>
      <c r="D311" s="21">
        <f>IFERROR(VLOOKUP(RIT_FUSIONS[[#This Row],[ID]],RIT_ACUM!A:A,1,0),"NOVO")</f>
        <v>46787</v>
      </c>
    </row>
    <row r="312" spans="1:4" hidden="1" x14ac:dyDescent="0.35">
      <c r="A312" s="1">
        <v>46786</v>
      </c>
      <c r="B312" s="2">
        <v>46297</v>
      </c>
      <c r="C312" s="21" t="s">
        <v>3</v>
      </c>
      <c r="D312" s="21">
        <f>IFERROR(VLOOKUP(RIT_FUSIONS[[#This Row],[ID]],RIT_ACUM!A:A,1,0),"NOVO")</f>
        <v>46786</v>
      </c>
    </row>
    <row r="313" spans="1:4" hidden="1" x14ac:dyDescent="0.35">
      <c r="A313" s="1">
        <v>46785</v>
      </c>
      <c r="B313" s="2">
        <v>46297</v>
      </c>
      <c r="C313" s="21" t="s">
        <v>3</v>
      </c>
      <c r="D313" s="21">
        <f>IFERROR(VLOOKUP(RIT_FUSIONS[[#This Row],[ID]],RIT_ACUM!A:A,1,0),"NOVO")</f>
        <v>46785</v>
      </c>
    </row>
    <row r="314" spans="1:4" hidden="1" x14ac:dyDescent="0.35">
      <c r="A314" s="1">
        <v>46781</v>
      </c>
      <c r="B314" s="2">
        <v>46296</v>
      </c>
      <c r="C314" s="21" t="s">
        <v>11</v>
      </c>
      <c r="D314" s="21">
        <f>IFERROR(VLOOKUP(RIT_FUSIONS[[#This Row],[ID]],RIT_ACUM!A:A,1,0),"NOVO")</f>
        <v>46781</v>
      </c>
    </row>
    <row r="315" spans="1:4" hidden="1" x14ac:dyDescent="0.35">
      <c r="A315" s="1">
        <v>46779</v>
      </c>
      <c r="B315" s="2">
        <v>46296</v>
      </c>
      <c r="C315" s="21" t="s">
        <v>22</v>
      </c>
      <c r="D315" s="21">
        <f>IFERROR(VLOOKUP(RIT_FUSIONS[[#This Row],[ID]],RIT_ACUM!A:A,1,0),"NOVO")</f>
        <v>46779</v>
      </c>
    </row>
    <row r="316" spans="1:4" hidden="1" x14ac:dyDescent="0.35">
      <c r="A316" s="1">
        <v>46778</v>
      </c>
      <c r="B316" s="2">
        <v>46296</v>
      </c>
      <c r="C316" s="21" t="s">
        <v>4</v>
      </c>
      <c r="D316" s="21">
        <f>IFERROR(VLOOKUP(RIT_FUSIONS[[#This Row],[ID]],RIT_ACUM!A:A,1,0),"NOVO")</f>
        <v>46778</v>
      </c>
    </row>
    <row r="317" spans="1:4" hidden="1" x14ac:dyDescent="0.35">
      <c r="A317" s="1">
        <v>46777</v>
      </c>
      <c r="B317" s="2">
        <v>46296</v>
      </c>
      <c r="C317" s="21" t="s">
        <v>4</v>
      </c>
      <c r="D317" s="21">
        <f>IFERROR(VLOOKUP(RIT_FUSIONS[[#This Row],[ID]],RIT_ACUM!A:A,1,0),"NOVO")</f>
        <v>46777</v>
      </c>
    </row>
    <row r="318" spans="1:4" hidden="1" x14ac:dyDescent="0.35">
      <c r="A318" s="1">
        <v>46774</v>
      </c>
      <c r="B318" s="2">
        <v>46296</v>
      </c>
      <c r="C318" s="21" t="s">
        <v>9</v>
      </c>
      <c r="D318" s="21">
        <f>IFERROR(VLOOKUP(RIT_FUSIONS[[#This Row],[ID]],RIT_ACUM!A:A,1,0),"NOVO")</f>
        <v>46774</v>
      </c>
    </row>
    <row r="319" spans="1:4" hidden="1" x14ac:dyDescent="0.35">
      <c r="A319" s="1">
        <v>46772</v>
      </c>
      <c r="B319" s="2">
        <v>46296</v>
      </c>
      <c r="C319" s="21" t="s">
        <v>9</v>
      </c>
      <c r="D319" s="21">
        <f>IFERROR(VLOOKUP(RIT_FUSIONS[[#This Row],[ID]],RIT_ACUM!A:A,1,0),"NOVO")</f>
        <v>46772</v>
      </c>
    </row>
    <row r="320" spans="1:4" hidden="1" x14ac:dyDescent="0.35">
      <c r="A320" s="1">
        <v>46771</v>
      </c>
      <c r="B320" s="2">
        <v>46296</v>
      </c>
      <c r="C320" s="21" t="s">
        <v>24</v>
      </c>
      <c r="D320" s="21">
        <f>IFERROR(VLOOKUP(RIT_FUSIONS[[#This Row],[ID]],RIT_ACUM!A:A,1,0),"NOVO")</f>
        <v>46771</v>
      </c>
    </row>
    <row r="321" spans="1:4" hidden="1" x14ac:dyDescent="0.35">
      <c r="A321" s="1">
        <v>46770</v>
      </c>
      <c r="B321" s="2">
        <v>46296</v>
      </c>
      <c r="C321" s="21" t="s">
        <v>24</v>
      </c>
      <c r="D321" s="21">
        <f>IFERROR(VLOOKUP(RIT_FUSIONS[[#This Row],[ID]],RIT_ACUM!A:A,1,0),"NOVO")</f>
        <v>46770</v>
      </c>
    </row>
    <row r="322" spans="1:4" hidden="1" x14ac:dyDescent="0.35">
      <c r="A322" s="1">
        <v>46769</v>
      </c>
      <c r="B322" s="2">
        <v>46296</v>
      </c>
      <c r="C322" s="21" t="s">
        <v>24</v>
      </c>
      <c r="D322" s="21">
        <f>IFERROR(VLOOKUP(RIT_FUSIONS[[#This Row],[ID]],RIT_ACUM!A:A,1,0),"NOVO")</f>
        <v>46769</v>
      </c>
    </row>
    <row r="323" spans="1:4" hidden="1" x14ac:dyDescent="0.35">
      <c r="A323" s="1">
        <v>46768</v>
      </c>
      <c r="B323" s="2">
        <v>46296</v>
      </c>
      <c r="C323" s="21" t="s">
        <v>24</v>
      </c>
      <c r="D323" s="21">
        <f>IFERROR(VLOOKUP(RIT_FUSIONS[[#This Row],[ID]],RIT_ACUM!A:A,1,0),"NOVO")</f>
        <v>46768</v>
      </c>
    </row>
    <row r="324" spans="1:4" hidden="1" x14ac:dyDescent="0.35">
      <c r="A324" s="1">
        <v>46767</v>
      </c>
      <c r="B324" s="2">
        <v>46296</v>
      </c>
      <c r="C324" s="21" t="s">
        <v>24</v>
      </c>
      <c r="D324" s="21">
        <f>IFERROR(VLOOKUP(RIT_FUSIONS[[#This Row],[ID]],RIT_ACUM!A:A,1,0),"NOVO")</f>
        <v>46767</v>
      </c>
    </row>
    <row r="325" spans="1:4" hidden="1" x14ac:dyDescent="0.35">
      <c r="A325" s="1">
        <v>46765</v>
      </c>
      <c r="B325" s="2">
        <v>46296</v>
      </c>
      <c r="C325" s="21" t="s">
        <v>7</v>
      </c>
      <c r="D325" s="21">
        <f>IFERROR(VLOOKUP(RIT_FUSIONS[[#This Row],[ID]],RIT_ACUM!A:A,1,0),"NOVO")</f>
        <v>46765</v>
      </c>
    </row>
    <row r="326" spans="1:4" hidden="1" x14ac:dyDescent="0.35">
      <c r="A326" s="1">
        <v>46764</v>
      </c>
      <c r="B326" s="2">
        <v>46296</v>
      </c>
      <c r="C326" s="21" t="s">
        <v>10</v>
      </c>
      <c r="D326" s="21">
        <f>IFERROR(VLOOKUP(RIT_FUSIONS[[#This Row],[ID]],RIT_ACUM!A:A,1,0),"NOVO")</f>
        <v>46764</v>
      </c>
    </row>
    <row r="327" spans="1:4" hidden="1" x14ac:dyDescent="0.35">
      <c r="A327" s="1">
        <v>46763</v>
      </c>
      <c r="B327" s="2">
        <v>46296</v>
      </c>
      <c r="C327" s="21" t="s">
        <v>10</v>
      </c>
      <c r="D327" s="21">
        <f>IFERROR(VLOOKUP(RIT_FUSIONS[[#This Row],[ID]],RIT_ACUM!A:A,1,0),"NOVO")</f>
        <v>46763</v>
      </c>
    </row>
    <row r="328" spans="1:4" hidden="1" x14ac:dyDescent="0.35">
      <c r="A328" s="1">
        <v>46762</v>
      </c>
      <c r="B328" s="2">
        <v>46296</v>
      </c>
      <c r="C328" s="21" t="s">
        <v>19</v>
      </c>
      <c r="D328" s="21">
        <f>IFERROR(VLOOKUP(RIT_FUSIONS[[#This Row],[ID]],RIT_ACUM!A:A,1,0),"NOVO")</f>
        <v>46762</v>
      </c>
    </row>
    <row r="329" spans="1:4" hidden="1" x14ac:dyDescent="0.35">
      <c r="A329" s="1">
        <v>46760</v>
      </c>
      <c r="B329" s="2">
        <v>46296</v>
      </c>
      <c r="C329" s="21" t="s">
        <v>7</v>
      </c>
      <c r="D329" s="21">
        <f>IFERROR(VLOOKUP(RIT_FUSIONS[[#This Row],[ID]],RIT_ACUM!A:A,1,0),"NOVO")</f>
        <v>46760</v>
      </c>
    </row>
    <row r="330" spans="1:4" hidden="1" x14ac:dyDescent="0.35">
      <c r="A330" s="1">
        <v>46759</v>
      </c>
      <c r="B330" s="2">
        <v>46296</v>
      </c>
      <c r="C330" s="21" t="s">
        <v>9</v>
      </c>
      <c r="D330" s="21">
        <f>IFERROR(VLOOKUP(RIT_FUSIONS[[#This Row],[ID]],RIT_ACUM!A:A,1,0),"NOVO")</f>
        <v>46759</v>
      </c>
    </row>
    <row r="331" spans="1:4" hidden="1" x14ac:dyDescent="0.35">
      <c r="A331" s="1">
        <v>46758</v>
      </c>
      <c r="B331" s="2">
        <v>46296</v>
      </c>
      <c r="C331" s="21" t="s">
        <v>19</v>
      </c>
      <c r="D331" s="21">
        <f>IFERROR(VLOOKUP(RIT_FUSIONS[[#This Row],[ID]],RIT_ACUM!A:A,1,0),"NOVO")</f>
        <v>46758</v>
      </c>
    </row>
    <row r="332" spans="1:4" hidden="1" x14ac:dyDescent="0.35">
      <c r="A332" s="1">
        <v>46757</v>
      </c>
      <c r="B332" s="2">
        <v>46296</v>
      </c>
      <c r="C332" s="21" t="s">
        <v>19</v>
      </c>
      <c r="D332" s="21">
        <f>IFERROR(VLOOKUP(RIT_FUSIONS[[#This Row],[ID]],RIT_ACUM!A:A,1,0),"NOVO")</f>
        <v>46757</v>
      </c>
    </row>
    <row r="333" spans="1:4" hidden="1" x14ac:dyDescent="0.35">
      <c r="A333" s="1">
        <v>46755</v>
      </c>
      <c r="B333" s="2">
        <v>46296</v>
      </c>
      <c r="C333" s="21" t="s">
        <v>8</v>
      </c>
      <c r="D333" s="21">
        <f>IFERROR(VLOOKUP(RIT_FUSIONS[[#This Row],[ID]],RIT_ACUM!A:A,1,0),"NOVO")</f>
        <v>46755</v>
      </c>
    </row>
    <row r="334" spans="1:4" hidden="1" x14ac:dyDescent="0.35">
      <c r="A334" s="1">
        <v>46754</v>
      </c>
      <c r="B334" s="2">
        <v>46296</v>
      </c>
      <c r="C334" s="21" t="s">
        <v>8</v>
      </c>
      <c r="D334" s="21">
        <f>IFERROR(VLOOKUP(RIT_FUSIONS[[#This Row],[ID]],RIT_ACUM!A:A,1,0),"NOVO")</f>
        <v>46754</v>
      </c>
    </row>
    <row r="335" spans="1:4" hidden="1" x14ac:dyDescent="0.35">
      <c r="A335" s="1">
        <v>46752</v>
      </c>
      <c r="B335" s="2">
        <v>46295</v>
      </c>
      <c r="C335" s="21" t="s">
        <v>10</v>
      </c>
      <c r="D335" s="21">
        <f>IFERROR(VLOOKUP(RIT_FUSIONS[[#This Row],[ID]],RIT_ACUM!A:A,1,0),"NOVO")</f>
        <v>46752</v>
      </c>
    </row>
    <row r="336" spans="1:4" hidden="1" x14ac:dyDescent="0.35">
      <c r="A336" s="1">
        <v>46751</v>
      </c>
      <c r="B336" s="2">
        <v>46295</v>
      </c>
      <c r="C336" s="21" t="s">
        <v>10</v>
      </c>
      <c r="D336" s="21">
        <f>IFERROR(VLOOKUP(RIT_FUSIONS[[#This Row],[ID]],RIT_ACUM!A:A,1,0),"NOVO")</f>
        <v>46751</v>
      </c>
    </row>
    <row r="337" spans="1:4" hidden="1" x14ac:dyDescent="0.35">
      <c r="A337" s="1">
        <v>46747</v>
      </c>
      <c r="B337" s="2">
        <v>46295</v>
      </c>
      <c r="C337" s="21" t="s">
        <v>7</v>
      </c>
      <c r="D337" s="21">
        <f>IFERROR(VLOOKUP(RIT_FUSIONS[[#This Row],[ID]],RIT_ACUM!A:A,1,0),"NOVO")</f>
        <v>46747</v>
      </c>
    </row>
    <row r="338" spans="1:4" hidden="1" x14ac:dyDescent="0.35">
      <c r="A338" s="1">
        <v>46735</v>
      </c>
      <c r="B338" s="2">
        <v>46295</v>
      </c>
      <c r="C338" s="21" t="s">
        <v>19</v>
      </c>
      <c r="D338" s="21">
        <f>IFERROR(VLOOKUP(RIT_FUSIONS[[#This Row],[ID]],RIT_ACUM!A:A,1,0),"NOVO")</f>
        <v>46735</v>
      </c>
    </row>
    <row r="339" spans="1:4" hidden="1" x14ac:dyDescent="0.35">
      <c r="A339" s="1">
        <v>46734</v>
      </c>
      <c r="B339" s="2">
        <v>46295</v>
      </c>
      <c r="C339" s="21" t="s">
        <v>3</v>
      </c>
      <c r="D339" s="21">
        <f>IFERROR(VLOOKUP(RIT_FUSIONS[[#This Row],[ID]],RIT_ACUM!A:A,1,0),"NOVO")</f>
        <v>46734</v>
      </c>
    </row>
    <row r="340" spans="1:4" hidden="1" x14ac:dyDescent="0.35">
      <c r="A340" s="1">
        <v>46732</v>
      </c>
      <c r="B340" s="2">
        <v>46295</v>
      </c>
      <c r="C340" s="21" t="s">
        <v>6</v>
      </c>
      <c r="D340" s="21">
        <f>IFERROR(VLOOKUP(RIT_FUSIONS[[#This Row],[ID]],RIT_ACUM!A:A,1,0),"NOVO")</f>
        <v>46732</v>
      </c>
    </row>
    <row r="341" spans="1:4" hidden="1" x14ac:dyDescent="0.35">
      <c r="A341" s="1">
        <v>46731</v>
      </c>
      <c r="B341" s="2">
        <v>46295</v>
      </c>
      <c r="C341" s="21" t="s">
        <v>6</v>
      </c>
      <c r="D341" s="21">
        <f>IFERROR(VLOOKUP(RIT_FUSIONS[[#This Row],[ID]],RIT_ACUM!A:A,1,0),"NOVO")</f>
        <v>46731</v>
      </c>
    </row>
    <row r="342" spans="1:4" hidden="1" x14ac:dyDescent="0.35">
      <c r="A342" s="1">
        <v>46730</v>
      </c>
      <c r="B342" s="2">
        <v>46295</v>
      </c>
      <c r="C342" s="21" t="s">
        <v>7</v>
      </c>
      <c r="D342" s="21">
        <f>IFERROR(VLOOKUP(RIT_FUSIONS[[#This Row],[ID]],RIT_ACUM!A:A,1,0),"NOVO")</f>
        <v>46730</v>
      </c>
    </row>
    <row r="343" spans="1:4" hidden="1" x14ac:dyDescent="0.35">
      <c r="A343" s="1">
        <v>46729</v>
      </c>
      <c r="B343" s="2">
        <v>46295</v>
      </c>
      <c r="C343" s="21" t="s">
        <v>22</v>
      </c>
      <c r="D343" s="21">
        <f>IFERROR(VLOOKUP(RIT_FUSIONS[[#This Row],[ID]],RIT_ACUM!A:A,1,0),"NOVO")</f>
        <v>46729</v>
      </c>
    </row>
    <row r="344" spans="1:4" hidden="1" x14ac:dyDescent="0.35">
      <c r="A344" s="1">
        <v>46728</v>
      </c>
      <c r="B344" s="2">
        <v>46295</v>
      </c>
      <c r="C344" s="21" t="s">
        <v>22</v>
      </c>
      <c r="D344" s="21">
        <f>IFERROR(VLOOKUP(RIT_FUSIONS[[#This Row],[ID]],RIT_ACUM!A:A,1,0),"NOVO")</f>
        <v>46728</v>
      </c>
    </row>
    <row r="345" spans="1:4" hidden="1" x14ac:dyDescent="0.35">
      <c r="A345" s="1">
        <v>46727</v>
      </c>
      <c r="B345" s="2">
        <v>46295</v>
      </c>
      <c r="C345" s="21" t="s">
        <v>22</v>
      </c>
      <c r="D345" s="21">
        <f>IFERROR(VLOOKUP(RIT_FUSIONS[[#This Row],[ID]],RIT_ACUM!A:A,1,0),"NOVO")</f>
        <v>46727</v>
      </c>
    </row>
    <row r="346" spans="1:4" hidden="1" x14ac:dyDescent="0.35">
      <c r="A346" s="1">
        <v>46726</v>
      </c>
      <c r="B346" s="2">
        <v>46295</v>
      </c>
      <c r="C346" s="21" t="s">
        <v>22</v>
      </c>
      <c r="D346" s="21">
        <f>IFERROR(VLOOKUP(RIT_FUSIONS[[#This Row],[ID]],RIT_ACUM!A:A,1,0),"NOVO")</f>
        <v>46726</v>
      </c>
    </row>
    <row r="347" spans="1:4" hidden="1" x14ac:dyDescent="0.35">
      <c r="A347" s="1">
        <v>46725</v>
      </c>
      <c r="B347" s="2">
        <v>46295</v>
      </c>
      <c r="C347" s="21" t="s">
        <v>22</v>
      </c>
      <c r="D347" s="21">
        <f>IFERROR(VLOOKUP(RIT_FUSIONS[[#This Row],[ID]],RIT_ACUM!A:A,1,0),"NOVO")</f>
        <v>46725</v>
      </c>
    </row>
    <row r="348" spans="1:4" hidden="1" x14ac:dyDescent="0.35">
      <c r="A348" s="1">
        <v>46724</v>
      </c>
      <c r="B348" s="2">
        <v>46295</v>
      </c>
      <c r="C348" s="21" t="s">
        <v>22</v>
      </c>
      <c r="D348" s="21">
        <f>IFERROR(VLOOKUP(RIT_FUSIONS[[#This Row],[ID]],RIT_ACUM!A:A,1,0),"NOVO")</f>
        <v>46724</v>
      </c>
    </row>
    <row r="349" spans="1:4" hidden="1" x14ac:dyDescent="0.35">
      <c r="A349" s="1">
        <v>46723</v>
      </c>
      <c r="B349" s="2">
        <v>46295</v>
      </c>
      <c r="C349" s="21" t="s">
        <v>22</v>
      </c>
      <c r="D349" s="21">
        <f>IFERROR(VLOOKUP(RIT_FUSIONS[[#This Row],[ID]],RIT_ACUM!A:A,1,0),"NOVO")</f>
        <v>46723</v>
      </c>
    </row>
    <row r="350" spans="1:4" hidden="1" x14ac:dyDescent="0.35">
      <c r="A350" s="1">
        <v>46722</v>
      </c>
      <c r="B350" s="2">
        <v>46295</v>
      </c>
      <c r="C350" s="21" t="s">
        <v>22</v>
      </c>
      <c r="D350" s="21">
        <f>IFERROR(VLOOKUP(RIT_FUSIONS[[#This Row],[ID]],RIT_ACUM!A:A,1,0),"NOVO")</f>
        <v>46722</v>
      </c>
    </row>
    <row r="351" spans="1:4" hidden="1" x14ac:dyDescent="0.35">
      <c r="A351" s="1">
        <v>46720</v>
      </c>
      <c r="B351" s="2">
        <v>46295</v>
      </c>
      <c r="C351" s="21" t="s">
        <v>8</v>
      </c>
      <c r="D351" s="21">
        <f>IFERROR(VLOOKUP(RIT_FUSIONS[[#This Row],[ID]],RIT_ACUM!A:A,1,0),"NOVO")</f>
        <v>46720</v>
      </c>
    </row>
    <row r="352" spans="1:4" hidden="1" x14ac:dyDescent="0.35">
      <c r="A352" s="1">
        <v>46719</v>
      </c>
      <c r="B352" s="2">
        <v>46295</v>
      </c>
      <c r="C352" s="21" t="s">
        <v>8</v>
      </c>
      <c r="D352" s="21">
        <f>IFERROR(VLOOKUP(RIT_FUSIONS[[#This Row],[ID]],RIT_ACUM!A:A,1,0),"NOVO")</f>
        <v>46719</v>
      </c>
    </row>
    <row r="353" spans="1:4" hidden="1" x14ac:dyDescent="0.35">
      <c r="A353" s="1">
        <v>46718</v>
      </c>
      <c r="B353" s="2">
        <v>46295</v>
      </c>
      <c r="C353" s="21" t="s">
        <v>19</v>
      </c>
      <c r="D353" s="21">
        <f>IFERROR(VLOOKUP(RIT_FUSIONS[[#This Row],[ID]],RIT_ACUM!A:A,1,0),"NOVO")</f>
        <v>46718</v>
      </c>
    </row>
    <row r="354" spans="1:4" hidden="1" x14ac:dyDescent="0.35">
      <c r="A354" s="1">
        <v>46717</v>
      </c>
      <c r="B354" s="2">
        <v>46295</v>
      </c>
      <c r="C354" s="21" t="s">
        <v>19</v>
      </c>
      <c r="D354" s="21">
        <f>IFERROR(VLOOKUP(RIT_FUSIONS[[#This Row],[ID]],RIT_ACUM!A:A,1,0),"NOVO")</f>
        <v>46717</v>
      </c>
    </row>
    <row r="355" spans="1:4" hidden="1" x14ac:dyDescent="0.35">
      <c r="A355" s="1">
        <v>46715</v>
      </c>
      <c r="B355" s="2">
        <v>46294</v>
      </c>
      <c r="C355" s="21" t="s">
        <v>9</v>
      </c>
      <c r="D355" s="21">
        <f>IFERROR(VLOOKUP(RIT_FUSIONS[[#This Row],[ID]],RIT_ACUM!A:A,1,0),"NOVO")</f>
        <v>46715</v>
      </c>
    </row>
    <row r="356" spans="1:4" hidden="1" x14ac:dyDescent="0.35">
      <c r="A356" s="1">
        <v>46714</v>
      </c>
      <c r="B356" s="2">
        <v>46294</v>
      </c>
      <c r="C356" s="21" t="s">
        <v>9</v>
      </c>
      <c r="D356" s="21">
        <f>IFERROR(VLOOKUP(RIT_FUSIONS[[#This Row],[ID]],RIT_ACUM!A:A,1,0),"NOVO")</f>
        <v>46714</v>
      </c>
    </row>
    <row r="357" spans="1:4" hidden="1" x14ac:dyDescent="0.35">
      <c r="A357" s="1">
        <v>46713</v>
      </c>
      <c r="B357" s="2">
        <v>46294</v>
      </c>
      <c r="C357" s="21" t="s">
        <v>9</v>
      </c>
      <c r="D357" s="21">
        <f>IFERROR(VLOOKUP(RIT_FUSIONS[[#This Row],[ID]],RIT_ACUM!A:A,1,0),"NOVO")</f>
        <v>46713</v>
      </c>
    </row>
    <row r="358" spans="1:4" hidden="1" x14ac:dyDescent="0.35">
      <c r="A358" s="1">
        <v>46712</v>
      </c>
      <c r="B358" s="2">
        <v>46294</v>
      </c>
      <c r="C358" s="21" t="s">
        <v>10</v>
      </c>
      <c r="D358" s="21">
        <f>IFERROR(VLOOKUP(RIT_FUSIONS[[#This Row],[ID]],RIT_ACUM!A:A,1,0),"NOVO")</f>
        <v>46712</v>
      </c>
    </row>
    <row r="359" spans="1:4" hidden="1" x14ac:dyDescent="0.35">
      <c r="A359" s="1">
        <v>46711</v>
      </c>
      <c r="B359" s="2">
        <v>46294</v>
      </c>
      <c r="C359" s="21" t="s">
        <v>10</v>
      </c>
      <c r="D359" s="21">
        <f>IFERROR(VLOOKUP(RIT_FUSIONS[[#This Row],[ID]],RIT_ACUM!A:A,1,0),"NOVO")</f>
        <v>46711</v>
      </c>
    </row>
    <row r="360" spans="1:4" hidden="1" x14ac:dyDescent="0.35">
      <c r="A360" s="1">
        <v>46710</v>
      </c>
      <c r="B360" s="2">
        <v>46294</v>
      </c>
      <c r="C360" s="21" t="s">
        <v>103</v>
      </c>
      <c r="D360" s="21">
        <f>IFERROR(VLOOKUP(RIT_FUSIONS[[#This Row],[ID]],RIT_ACUM!A:A,1,0),"NOVO")</f>
        <v>46710</v>
      </c>
    </row>
    <row r="361" spans="1:4" hidden="1" x14ac:dyDescent="0.35">
      <c r="A361" s="1">
        <v>46709</v>
      </c>
      <c r="B361" s="2">
        <v>46294</v>
      </c>
      <c r="C361" s="21" t="s">
        <v>103</v>
      </c>
      <c r="D361" s="21">
        <f>IFERROR(VLOOKUP(RIT_FUSIONS[[#This Row],[ID]],RIT_ACUM!A:A,1,0),"NOVO")</f>
        <v>46709</v>
      </c>
    </row>
    <row r="362" spans="1:4" hidden="1" x14ac:dyDescent="0.35">
      <c r="A362" s="1">
        <v>46708</v>
      </c>
      <c r="B362" s="2">
        <v>46294</v>
      </c>
      <c r="C362" s="21" t="s">
        <v>3</v>
      </c>
      <c r="D362" s="21">
        <f>IFERROR(VLOOKUP(RIT_FUSIONS[[#This Row],[ID]],RIT_ACUM!A:A,1,0),"NOVO")</f>
        <v>46708</v>
      </c>
    </row>
    <row r="363" spans="1:4" hidden="1" x14ac:dyDescent="0.35">
      <c r="A363" s="1">
        <v>46707</v>
      </c>
      <c r="B363" s="2">
        <v>46294</v>
      </c>
      <c r="C363" s="21" t="s">
        <v>3</v>
      </c>
      <c r="D363" s="21">
        <f>IFERROR(VLOOKUP(RIT_FUSIONS[[#This Row],[ID]],RIT_ACUM!A:A,1,0),"NOVO")</f>
        <v>46707</v>
      </c>
    </row>
    <row r="364" spans="1:4" hidden="1" x14ac:dyDescent="0.35">
      <c r="A364" s="1">
        <v>46706</v>
      </c>
      <c r="B364" s="2">
        <v>46294</v>
      </c>
      <c r="C364" s="21" t="s">
        <v>3</v>
      </c>
      <c r="D364" s="21">
        <f>IFERROR(VLOOKUP(RIT_FUSIONS[[#This Row],[ID]],RIT_ACUM!A:A,1,0),"NOVO")</f>
        <v>46706</v>
      </c>
    </row>
    <row r="365" spans="1:4" hidden="1" x14ac:dyDescent="0.35">
      <c r="A365" s="1">
        <v>46700</v>
      </c>
      <c r="B365" s="2">
        <v>46294</v>
      </c>
      <c r="C365" s="21" t="s">
        <v>7</v>
      </c>
      <c r="D365" s="21">
        <f>IFERROR(VLOOKUP(RIT_FUSIONS[[#This Row],[ID]],RIT_ACUM!A:A,1,0),"NOVO")</f>
        <v>46700</v>
      </c>
    </row>
    <row r="366" spans="1:4" hidden="1" x14ac:dyDescent="0.35">
      <c r="A366" s="1">
        <v>46697</v>
      </c>
      <c r="B366" s="2">
        <v>46294</v>
      </c>
      <c r="C366" s="21" t="s">
        <v>7</v>
      </c>
      <c r="D366" s="21">
        <f>IFERROR(VLOOKUP(RIT_FUSIONS[[#This Row],[ID]],RIT_ACUM!A:A,1,0),"NOVO")</f>
        <v>46697</v>
      </c>
    </row>
    <row r="367" spans="1:4" hidden="1" x14ac:dyDescent="0.35">
      <c r="A367" s="1">
        <v>46696</v>
      </c>
      <c r="B367" s="2">
        <v>46294</v>
      </c>
      <c r="C367" s="21" t="s">
        <v>3</v>
      </c>
      <c r="D367" s="21">
        <f>IFERROR(VLOOKUP(RIT_FUSIONS[[#This Row],[ID]],RIT_ACUM!A:A,1,0),"NOVO")</f>
        <v>46696</v>
      </c>
    </row>
    <row r="368" spans="1:4" hidden="1" x14ac:dyDescent="0.35">
      <c r="A368" s="1">
        <v>46694</v>
      </c>
      <c r="B368" s="2">
        <v>46294</v>
      </c>
      <c r="C368" s="21" t="s">
        <v>3</v>
      </c>
      <c r="D368" s="21">
        <f>IFERROR(VLOOKUP(RIT_FUSIONS[[#This Row],[ID]],RIT_ACUM!A:A,1,0),"NOVO")</f>
        <v>46694</v>
      </c>
    </row>
    <row r="369" spans="1:4" hidden="1" x14ac:dyDescent="0.35">
      <c r="A369" s="1">
        <v>46693</v>
      </c>
      <c r="B369" s="2">
        <v>46294</v>
      </c>
      <c r="C369" s="21" t="s">
        <v>3</v>
      </c>
      <c r="D369" s="21">
        <f>IFERROR(VLOOKUP(RIT_FUSIONS[[#This Row],[ID]],RIT_ACUM!A:A,1,0),"NOVO")</f>
        <v>46693</v>
      </c>
    </row>
    <row r="370" spans="1:4" hidden="1" x14ac:dyDescent="0.35">
      <c r="A370" s="1">
        <v>46692</v>
      </c>
      <c r="B370" s="2">
        <v>46294</v>
      </c>
      <c r="C370" s="21" t="s">
        <v>3</v>
      </c>
      <c r="D370" s="21">
        <f>IFERROR(VLOOKUP(RIT_FUSIONS[[#This Row],[ID]],RIT_ACUM!A:A,1,0),"NOVO")</f>
        <v>46692</v>
      </c>
    </row>
    <row r="371" spans="1:4" hidden="1" x14ac:dyDescent="0.35">
      <c r="A371" s="1">
        <v>46691</v>
      </c>
      <c r="B371" s="2">
        <v>46294</v>
      </c>
      <c r="C371" s="21" t="s">
        <v>8</v>
      </c>
      <c r="D371" s="21">
        <f>IFERROR(VLOOKUP(RIT_FUSIONS[[#This Row],[ID]],RIT_ACUM!A:A,1,0),"NOVO")</f>
        <v>46691</v>
      </c>
    </row>
    <row r="372" spans="1:4" hidden="1" x14ac:dyDescent="0.35">
      <c r="A372" s="1">
        <v>46690</v>
      </c>
      <c r="B372" s="2">
        <v>46294</v>
      </c>
      <c r="C372" s="21" t="s">
        <v>8</v>
      </c>
      <c r="D372" s="21">
        <f>IFERROR(VLOOKUP(RIT_FUSIONS[[#This Row],[ID]],RIT_ACUM!A:A,1,0),"NOVO")</f>
        <v>46690</v>
      </c>
    </row>
    <row r="373" spans="1:4" hidden="1" x14ac:dyDescent="0.35">
      <c r="A373" s="1">
        <v>46689</v>
      </c>
      <c r="B373" s="2">
        <v>46294</v>
      </c>
      <c r="C373" s="21" t="s">
        <v>3</v>
      </c>
      <c r="D373" s="21">
        <f>IFERROR(VLOOKUP(RIT_FUSIONS[[#This Row],[ID]],RIT_ACUM!A:A,1,0),"NOVO")</f>
        <v>46689</v>
      </c>
    </row>
    <row r="374" spans="1:4" hidden="1" x14ac:dyDescent="0.35">
      <c r="A374" s="1">
        <v>46688</v>
      </c>
      <c r="B374" s="2">
        <v>46293</v>
      </c>
      <c r="C374" s="21" t="s">
        <v>10</v>
      </c>
      <c r="D374" s="21">
        <f>IFERROR(VLOOKUP(RIT_FUSIONS[[#This Row],[ID]],RIT_ACUM!A:A,1,0),"NOVO")</f>
        <v>46688</v>
      </c>
    </row>
    <row r="375" spans="1:4" hidden="1" x14ac:dyDescent="0.35">
      <c r="A375" s="1">
        <v>46687</v>
      </c>
      <c r="B375" s="2">
        <v>46293</v>
      </c>
      <c r="C375" s="21" t="s">
        <v>10</v>
      </c>
      <c r="D375" s="21">
        <f>IFERROR(VLOOKUP(RIT_FUSIONS[[#This Row],[ID]],RIT_ACUM!A:A,1,0),"NOVO")</f>
        <v>46687</v>
      </c>
    </row>
    <row r="376" spans="1:4" hidden="1" x14ac:dyDescent="0.35">
      <c r="A376" s="1">
        <v>46676</v>
      </c>
      <c r="B376" s="2">
        <v>46293</v>
      </c>
      <c r="C376" s="21" t="s">
        <v>9</v>
      </c>
      <c r="D376" s="21">
        <f>IFERROR(VLOOKUP(RIT_FUSIONS[[#This Row],[ID]],RIT_ACUM!A:A,1,0),"NOVO")</f>
        <v>46676</v>
      </c>
    </row>
    <row r="377" spans="1:4" hidden="1" x14ac:dyDescent="0.35">
      <c r="A377" s="1">
        <v>46675</v>
      </c>
      <c r="B377" s="2">
        <v>46293</v>
      </c>
      <c r="C377" s="21" t="s">
        <v>9</v>
      </c>
      <c r="D377" s="21">
        <f>IFERROR(VLOOKUP(RIT_FUSIONS[[#This Row],[ID]],RIT_ACUM!A:A,1,0),"NOVO")</f>
        <v>46675</v>
      </c>
    </row>
    <row r="378" spans="1:4" hidden="1" x14ac:dyDescent="0.35">
      <c r="A378" s="1">
        <v>46674</v>
      </c>
      <c r="B378" s="2">
        <v>46293</v>
      </c>
      <c r="C378" s="21" t="s">
        <v>19</v>
      </c>
      <c r="D378" s="21">
        <f>IFERROR(VLOOKUP(RIT_FUSIONS[[#This Row],[ID]],RIT_ACUM!A:A,1,0),"NOVO")</f>
        <v>46674</v>
      </c>
    </row>
    <row r="379" spans="1:4" hidden="1" x14ac:dyDescent="0.35">
      <c r="A379" s="1">
        <v>46673</v>
      </c>
      <c r="B379" s="2">
        <v>46293</v>
      </c>
      <c r="C379" s="21" t="s">
        <v>19</v>
      </c>
      <c r="D379" s="21">
        <f>IFERROR(VLOOKUP(RIT_FUSIONS[[#This Row],[ID]],RIT_ACUM!A:A,1,0),"NOVO")</f>
        <v>46673</v>
      </c>
    </row>
    <row r="380" spans="1:4" hidden="1" x14ac:dyDescent="0.35">
      <c r="A380" s="1">
        <v>46672</v>
      </c>
      <c r="B380" s="2">
        <v>46293</v>
      </c>
      <c r="C380" s="21" t="s">
        <v>19</v>
      </c>
      <c r="D380" s="21">
        <f>IFERROR(VLOOKUP(RIT_FUSIONS[[#This Row],[ID]],RIT_ACUM!A:A,1,0),"NOVO")</f>
        <v>46672</v>
      </c>
    </row>
    <row r="381" spans="1:4" hidden="1" x14ac:dyDescent="0.35">
      <c r="A381" s="1">
        <v>46671</v>
      </c>
      <c r="B381" s="2">
        <v>46293</v>
      </c>
      <c r="C381" s="21" t="s">
        <v>19</v>
      </c>
      <c r="D381" s="21">
        <f>IFERROR(VLOOKUP(RIT_FUSIONS[[#This Row],[ID]],RIT_ACUM!A:A,1,0),"NOVO")</f>
        <v>46671</v>
      </c>
    </row>
    <row r="382" spans="1:4" hidden="1" x14ac:dyDescent="0.35">
      <c r="A382" s="1">
        <v>46665</v>
      </c>
      <c r="B382" s="2">
        <v>46293</v>
      </c>
      <c r="C382" s="21" t="s">
        <v>23</v>
      </c>
      <c r="D382" s="21">
        <f>IFERROR(VLOOKUP(RIT_FUSIONS[[#This Row],[ID]],RIT_ACUM!A:A,1,0),"NOVO")</f>
        <v>46665</v>
      </c>
    </row>
    <row r="383" spans="1:4" hidden="1" x14ac:dyDescent="0.35">
      <c r="A383" s="1">
        <v>46664</v>
      </c>
      <c r="B383" s="2">
        <v>46293</v>
      </c>
      <c r="C383" s="21" t="s">
        <v>23</v>
      </c>
      <c r="D383" s="21">
        <f>IFERROR(VLOOKUP(RIT_FUSIONS[[#This Row],[ID]],RIT_ACUM!A:A,1,0),"NOVO")</f>
        <v>46664</v>
      </c>
    </row>
    <row r="384" spans="1:4" hidden="1" x14ac:dyDescent="0.35">
      <c r="A384" s="1">
        <v>46663</v>
      </c>
      <c r="B384" s="2">
        <v>46293</v>
      </c>
      <c r="C384" s="21" t="s">
        <v>24</v>
      </c>
      <c r="D384" s="21">
        <f>IFERROR(VLOOKUP(RIT_FUSIONS[[#This Row],[ID]],RIT_ACUM!A:A,1,0),"NOVO")</f>
        <v>46663</v>
      </c>
    </row>
    <row r="385" spans="1:4" hidden="1" x14ac:dyDescent="0.35">
      <c r="A385" s="1">
        <v>46662</v>
      </c>
      <c r="B385" s="2">
        <v>46293</v>
      </c>
      <c r="C385" s="21" t="s">
        <v>24</v>
      </c>
      <c r="D385" s="21">
        <f>IFERROR(VLOOKUP(RIT_FUSIONS[[#This Row],[ID]],RIT_ACUM!A:A,1,0),"NOVO")</f>
        <v>46662</v>
      </c>
    </row>
    <row r="386" spans="1:4" hidden="1" x14ac:dyDescent="0.35">
      <c r="A386" s="1">
        <v>46661</v>
      </c>
      <c r="B386" s="2">
        <v>46293</v>
      </c>
      <c r="C386" s="21" t="s">
        <v>9</v>
      </c>
      <c r="D386" s="21">
        <f>IFERROR(VLOOKUP(RIT_FUSIONS[[#This Row],[ID]],RIT_ACUM!A:A,1,0),"NOVO")</f>
        <v>46661</v>
      </c>
    </row>
    <row r="387" spans="1:4" hidden="1" x14ac:dyDescent="0.35">
      <c r="A387" s="1">
        <v>46660</v>
      </c>
      <c r="B387" s="2">
        <v>46293</v>
      </c>
      <c r="C387" s="21" t="s">
        <v>24</v>
      </c>
      <c r="D387" s="21">
        <f>IFERROR(VLOOKUP(RIT_FUSIONS[[#This Row],[ID]],RIT_ACUM!A:A,1,0),"NOVO")</f>
        <v>46660</v>
      </c>
    </row>
    <row r="388" spans="1:4" hidden="1" x14ac:dyDescent="0.35">
      <c r="A388" s="1">
        <v>46659</v>
      </c>
      <c r="B388" s="2">
        <v>46293</v>
      </c>
      <c r="C388" s="21" t="s">
        <v>24</v>
      </c>
      <c r="D388" s="21">
        <f>IFERROR(VLOOKUP(RIT_FUSIONS[[#This Row],[ID]],RIT_ACUM!A:A,1,0),"NOVO")</f>
        <v>46659</v>
      </c>
    </row>
    <row r="389" spans="1:4" hidden="1" x14ac:dyDescent="0.35">
      <c r="A389" s="1">
        <v>46658</v>
      </c>
      <c r="B389" s="2">
        <v>46293</v>
      </c>
      <c r="C389" s="21" t="s">
        <v>24</v>
      </c>
      <c r="D389" s="21">
        <f>IFERROR(VLOOKUP(RIT_FUSIONS[[#This Row],[ID]],RIT_ACUM!A:A,1,0),"NOVO")</f>
        <v>46658</v>
      </c>
    </row>
    <row r="390" spans="1:4" hidden="1" x14ac:dyDescent="0.35">
      <c r="A390" s="1">
        <v>46657</v>
      </c>
      <c r="B390" s="2">
        <v>46293</v>
      </c>
      <c r="C390" s="21" t="s">
        <v>24</v>
      </c>
      <c r="D390" s="21">
        <f>IFERROR(VLOOKUP(RIT_FUSIONS[[#This Row],[ID]],RIT_ACUM!A:A,1,0),"NOVO")</f>
        <v>46657</v>
      </c>
    </row>
    <row r="391" spans="1:4" hidden="1" x14ac:dyDescent="0.35">
      <c r="A391" s="1">
        <v>46656</v>
      </c>
      <c r="B391" s="2">
        <v>46293</v>
      </c>
      <c r="C391" s="21" t="s">
        <v>103</v>
      </c>
      <c r="D391" s="21">
        <f>IFERROR(VLOOKUP(RIT_FUSIONS[[#This Row],[ID]],RIT_ACUM!A:A,1,0),"NOVO")</f>
        <v>46656</v>
      </c>
    </row>
    <row r="392" spans="1:4" hidden="1" x14ac:dyDescent="0.35">
      <c r="A392" s="1">
        <v>46655</v>
      </c>
      <c r="B392" s="2">
        <v>46293</v>
      </c>
      <c r="C392" s="21" t="s">
        <v>3</v>
      </c>
      <c r="D392" s="21">
        <f>IFERROR(VLOOKUP(RIT_FUSIONS[[#This Row],[ID]],RIT_ACUM!A:A,1,0),"NOVO")</f>
        <v>46655</v>
      </c>
    </row>
    <row r="393" spans="1:4" hidden="1" x14ac:dyDescent="0.35">
      <c r="A393" s="1">
        <v>46654</v>
      </c>
      <c r="B393" s="2">
        <v>46293</v>
      </c>
      <c r="C393" s="21" t="s">
        <v>103</v>
      </c>
      <c r="D393" s="21">
        <f>IFERROR(VLOOKUP(RIT_FUSIONS[[#This Row],[ID]],RIT_ACUM!A:A,1,0),"NOVO")</f>
        <v>46654</v>
      </c>
    </row>
    <row r="394" spans="1:4" hidden="1" x14ac:dyDescent="0.35">
      <c r="A394" s="1">
        <v>46653</v>
      </c>
      <c r="B394" s="2">
        <v>46293</v>
      </c>
      <c r="C394" s="21" t="s">
        <v>3</v>
      </c>
      <c r="D394" s="21">
        <f>IFERROR(VLOOKUP(RIT_FUSIONS[[#This Row],[ID]],RIT_ACUM!A:A,1,0),"NOVO")</f>
        <v>46653</v>
      </c>
    </row>
    <row r="395" spans="1:4" hidden="1" x14ac:dyDescent="0.35">
      <c r="A395" s="1">
        <v>46651</v>
      </c>
      <c r="B395" s="2">
        <v>46293</v>
      </c>
      <c r="C395" s="21" t="s">
        <v>3</v>
      </c>
      <c r="D395" s="21">
        <f>IFERROR(VLOOKUP(RIT_FUSIONS[[#This Row],[ID]],RIT_ACUM!A:A,1,0),"NOVO")</f>
        <v>46651</v>
      </c>
    </row>
    <row r="396" spans="1:4" hidden="1" x14ac:dyDescent="0.35">
      <c r="A396" s="1">
        <v>46650</v>
      </c>
      <c r="B396" s="2">
        <v>46293</v>
      </c>
      <c r="C396" s="21" t="s">
        <v>3</v>
      </c>
      <c r="D396" s="21">
        <f>IFERROR(VLOOKUP(RIT_FUSIONS[[#This Row],[ID]],RIT_ACUM!A:A,1,0),"NOVO")</f>
        <v>46650</v>
      </c>
    </row>
    <row r="397" spans="1:4" hidden="1" x14ac:dyDescent="0.35">
      <c r="A397" s="1">
        <v>46647</v>
      </c>
      <c r="B397" s="2">
        <v>46293</v>
      </c>
      <c r="C397" s="21" t="s">
        <v>7</v>
      </c>
      <c r="D397" s="21">
        <f>IFERROR(VLOOKUP(RIT_FUSIONS[[#This Row],[ID]],RIT_ACUM!A:A,1,0),"NOVO")</f>
        <v>46647</v>
      </c>
    </row>
    <row r="398" spans="1:4" hidden="1" x14ac:dyDescent="0.35">
      <c r="A398" s="1">
        <v>46646</v>
      </c>
      <c r="B398" s="2">
        <v>46293</v>
      </c>
      <c r="C398" s="21" t="s">
        <v>6</v>
      </c>
      <c r="D398" s="21">
        <f>IFERROR(VLOOKUP(RIT_FUSIONS[[#This Row],[ID]],RIT_ACUM!A:A,1,0),"NOVO")</f>
        <v>46646</v>
      </c>
    </row>
    <row r="399" spans="1:4" hidden="1" x14ac:dyDescent="0.35">
      <c r="A399" s="1">
        <v>46645</v>
      </c>
      <c r="B399" s="2">
        <v>46293</v>
      </c>
      <c r="C399" s="21" t="s">
        <v>6</v>
      </c>
      <c r="D399" s="21">
        <f>IFERROR(VLOOKUP(RIT_FUSIONS[[#This Row],[ID]],RIT_ACUM!A:A,1,0),"NOVO")</f>
        <v>46645</v>
      </c>
    </row>
    <row r="400" spans="1:4" hidden="1" x14ac:dyDescent="0.35">
      <c r="A400" s="1">
        <v>46639</v>
      </c>
      <c r="B400" s="2">
        <v>46293</v>
      </c>
      <c r="C400" s="21" t="s">
        <v>8</v>
      </c>
      <c r="D400" s="21">
        <f>IFERROR(VLOOKUP(RIT_FUSIONS[[#This Row],[ID]],RIT_ACUM!A:A,1,0),"NOVO")</f>
        <v>46639</v>
      </c>
    </row>
    <row r="401" spans="1:4" hidden="1" x14ac:dyDescent="0.35">
      <c r="A401" s="1">
        <v>46638</v>
      </c>
      <c r="B401" s="2">
        <v>46293</v>
      </c>
      <c r="C401" s="21" t="s">
        <v>8</v>
      </c>
      <c r="D401" s="21">
        <f>IFERROR(VLOOKUP(RIT_FUSIONS[[#This Row],[ID]],RIT_ACUM!A:A,1,0),"NOVO")</f>
        <v>46638</v>
      </c>
    </row>
    <row r="402" spans="1:4" hidden="1" x14ac:dyDescent="0.35">
      <c r="A402" s="1">
        <v>46637</v>
      </c>
      <c r="B402" s="2">
        <v>46292</v>
      </c>
      <c r="C402" s="21" t="s">
        <v>17</v>
      </c>
      <c r="D402" s="21">
        <f>IFERROR(VLOOKUP(RIT_FUSIONS[[#This Row],[ID]],RIT_ACUM!A:A,1,0),"NOVO")</f>
        <v>46637</v>
      </c>
    </row>
    <row r="403" spans="1:4" hidden="1" x14ac:dyDescent="0.35">
      <c r="A403" s="1">
        <v>46636</v>
      </c>
      <c r="B403" s="2">
        <v>46292</v>
      </c>
      <c r="C403" s="21" t="s">
        <v>17</v>
      </c>
      <c r="D403" s="21">
        <f>IFERROR(VLOOKUP(RIT_FUSIONS[[#This Row],[ID]],RIT_ACUM!A:A,1,0),"NOVO")</f>
        <v>46636</v>
      </c>
    </row>
    <row r="404" spans="1:4" hidden="1" x14ac:dyDescent="0.35">
      <c r="A404" s="1">
        <v>46635</v>
      </c>
      <c r="B404" s="2">
        <v>46291</v>
      </c>
      <c r="C404" s="21" t="s">
        <v>10</v>
      </c>
      <c r="D404" s="21">
        <f>IFERROR(VLOOKUP(RIT_FUSIONS[[#This Row],[ID]],RIT_ACUM!A:A,1,0),"NOVO")</f>
        <v>46635</v>
      </c>
    </row>
    <row r="405" spans="1:4" hidden="1" x14ac:dyDescent="0.35">
      <c r="A405" s="1">
        <v>46634</v>
      </c>
      <c r="B405" s="2">
        <v>46291</v>
      </c>
      <c r="C405" s="21" t="s">
        <v>10</v>
      </c>
      <c r="D405" s="21">
        <f>IFERROR(VLOOKUP(RIT_FUSIONS[[#This Row],[ID]],RIT_ACUM!A:A,1,0),"NOVO")</f>
        <v>46634</v>
      </c>
    </row>
    <row r="406" spans="1:4" hidden="1" x14ac:dyDescent="0.35">
      <c r="A406" s="1">
        <v>46633</v>
      </c>
      <c r="B406" s="2">
        <v>46291</v>
      </c>
      <c r="C406" s="21" t="s">
        <v>6</v>
      </c>
      <c r="D406" s="21">
        <f>IFERROR(VLOOKUP(RIT_FUSIONS[[#This Row],[ID]],RIT_ACUM!A:A,1,0),"NOVO")</f>
        <v>46633</v>
      </c>
    </row>
    <row r="407" spans="1:4" hidden="1" x14ac:dyDescent="0.35">
      <c r="A407" s="1">
        <v>46632</v>
      </c>
      <c r="B407" s="2">
        <v>46291</v>
      </c>
      <c r="C407" s="21" t="s">
        <v>6</v>
      </c>
      <c r="D407" s="21">
        <f>IFERROR(VLOOKUP(RIT_FUSIONS[[#This Row],[ID]],RIT_ACUM!A:A,1,0),"NOVO")</f>
        <v>46632</v>
      </c>
    </row>
    <row r="408" spans="1:4" hidden="1" x14ac:dyDescent="0.35">
      <c r="A408" s="1">
        <v>46630</v>
      </c>
      <c r="B408" s="2">
        <v>46291</v>
      </c>
      <c r="C408" s="21" t="s">
        <v>8</v>
      </c>
      <c r="D408" s="21">
        <f>IFERROR(VLOOKUP(RIT_FUSIONS[[#This Row],[ID]],RIT_ACUM!A:A,1,0),"NOVO")</f>
        <v>46630</v>
      </c>
    </row>
    <row r="409" spans="1:4" hidden="1" x14ac:dyDescent="0.35">
      <c r="A409" s="1">
        <v>46629</v>
      </c>
      <c r="B409" s="2">
        <v>46291</v>
      </c>
      <c r="C409" s="21" t="s">
        <v>8</v>
      </c>
      <c r="D409" s="21">
        <f>IFERROR(VLOOKUP(RIT_FUSIONS[[#This Row],[ID]],RIT_ACUM!A:A,1,0),"NOVO")</f>
        <v>46629</v>
      </c>
    </row>
    <row r="410" spans="1:4" hidden="1" x14ac:dyDescent="0.35">
      <c r="A410" s="1">
        <v>46628</v>
      </c>
      <c r="B410" s="2">
        <v>46290</v>
      </c>
      <c r="C410" s="21" t="s">
        <v>17</v>
      </c>
      <c r="D410" s="21">
        <f>IFERROR(VLOOKUP(RIT_FUSIONS[[#This Row],[ID]],RIT_ACUM!A:A,1,0),"NOVO")</f>
        <v>46628</v>
      </c>
    </row>
    <row r="411" spans="1:4" hidden="1" x14ac:dyDescent="0.35">
      <c r="A411" s="1">
        <v>46627</v>
      </c>
      <c r="B411" s="2">
        <v>46290</v>
      </c>
      <c r="C411" s="21" t="s">
        <v>17</v>
      </c>
      <c r="D411" s="21">
        <f>IFERROR(VLOOKUP(RIT_FUSIONS[[#This Row],[ID]],RIT_ACUM!A:A,1,0),"NOVO")</f>
        <v>46627</v>
      </c>
    </row>
    <row r="412" spans="1:4" hidden="1" x14ac:dyDescent="0.35">
      <c r="A412" s="1">
        <v>46619</v>
      </c>
      <c r="B412" s="2">
        <v>46290</v>
      </c>
      <c r="C412" s="21" t="s">
        <v>10</v>
      </c>
      <c r="D412" s="21">
        <f>IFERROR(VLOOKUP(RIT_FUSIONS[[#This Row],[ID]],RIT_ACUM!A:A,1,0),"NOVO")</f>
        <v>46619</v>
      </c>
    </row>
    <row r="413" spans="1:4" hidden="1" x14ac:dyDescent="0.35">
      <c r="A413" s="1">
        <v>46618</v>
      </c>
      <c r="B413" s="2">
        <v>46290</v>
      </c>
      <c r="C413" s="21" t="s">
        <v>10</v>
      </c>
      <c r="D413" s="21">
        <f>IFERROR(VLOOKUP(RIT_FUSIONS[[#This Row],[ID]],RIT_ACUM!A:A,1,0),"NOVO")</f>
        <v>46618</v>
      </c>
    </row>
    <row r="414" spans="1:4" hidden="1" x14ac:dyDescent="0.35">
      <c r="A414" s="1">
        <v>46617</v>
      </c>
      <c r="B414" s="2">
        <v>46290</v>
      </c>
      <c r="C414" s="21" t="s">
        <v>6</v>
      </c>
      <c r="D414" s="21">
        <f>IFERROR(VLOOKUP(RIT_FUSIONS[[#This Row],[ID]],RIT_ACUM!A:A,1,0),"NOVO")</f>
        <v>46617</v>
      </c>
    </row>
    <row r="415" spans="1:4" hidden="1" x14ac:dyDescent="0.35">
      <c r="A415" s="1">
        <v>46616</v>
      </c>
      <c r="B415" s="2">
        <v>46290</v>
      </c>
      <c r="C415" s="21" t="s">
        <v>6</v>
      </c>
      <c r="D415" s="21">
        <f>IFERROR(VLOOKUP(RIT_FUSIONS[[#This Row],[ID]],RIT_ACUM!A:A,1,0),"NOVO")</f>
        <v>46616</v>
      </c>
    </row>
    <row r="416" spans="1:4" hidden="1" x14ac:dyDescent="0.35">
      <c r="A416" s="1">
        <v>46611</v>
      </c>
      <c r="B416" s="2">
        <v>46290</v>
      </c>
      <c r="C416" s="21" t="s">
        <v>5</v>
      </c>
      <c r="D416" s="21">
        <f>IFERROR(VLOOKUP(RIT_FUSIONS[[#This Row],[ID]],RIT_ACUM!A:A,1,0),"NOVO")</f>
        <v>46611</v>
      </c>
    </row>
    <row r="417" spans="1:4" hidden="1" x14ac:dyDescent="0.35">
      <c r="A417" s="1">
        <v>46610</v>
      </c>
      <c r="B417" s="2">
        <v>46290</v>
      </c>
      <c r="C417" s="21" t="s">
        <v>5</v>
      </c>
      <c r="D417" s="21">
        <f>IFERROR(VLOOKUP(RIT_FUSIONS[[#This Row],[ID]],RIT_ACUM!A:A,1,0),"NOVO")</f>
        <v>46610</v>
      </c>
    </row>
    <row r="418" spans="1:4" hidden="1" x14ac:dyDescent="0.35">
      <c r="A418" s="1">
        <v>46609</v>
      </c>
      <c r="B418" s="2">
        <v>46290</v>
      </c>
      <c r="C418" s="21" t="s">
        <v>5</v>
      </c>
      <c r="D418" s="21">
        <f>IFERROR(VLOOKUP(RIT_FUSIONS[[#This Row],[ID]],RIT_ACUM!A:A,1,0),"NOVO")</f>
        <v>46609</v>
      </c>
    </row>
    <row r="419" spans="1:4" hidden="1" x14ac:dyDescent="0.35">
      <c r="A419" s="1">
        <v>46607</v>
      </c>
      <c r="B419" s="2">
        <v>46290</v>
      </c>
      <c r="C419" s="21" t="s">
        <v>4</v>
      </c>
      <c r="D419" s="21">
        <f>IFERROR(VLOOKUP(RIT_FUSIONS[[#This Row],[ID]],RIT_ACUM!A:A,1,0),"NOVO")</f>
        <v>46607</v>
      </c>
    </row>
    <row r="420" spans="1:4" hidden="1" x14ac:dyDescent="0.35">
      <c r="A420" s="1">
        <v>46606</v>
      </c>
      <c r="B420" s="2">
        <v>46290</v>
      </c>
      <c r="C420" s="21" t="s">
        <v>4</v>
      </c>
      <c r="D420" s="21">
        <f>IFERROR(VLOOKUP(RIT_FUSIONS[[#This Row],[ID]],RIT_ACUM!A:A,1,0),"NOVO")</f>
        <v>46606</v>
      </c>
    </row>
    <row r="421" spans="1:4" hidden="1" x14ac:dyDescent="0.35">
      <c r="A421" s="1">
        <v>46604</v>
      </c>
      <c r="B421" s="2">
        <v>46290</v>
      </c>
      <c r="C421" s="21" t="s">
        <v>7</v>
      </c>
      <c r="D421" s="21">
        <f>IFERROR(VLOOKUP(RIT_FUSIONS[[#This Row],[ID]],RIT_ACUM!A:A,1,0),"NOVO")</f>
        <v>46604</v>
      </c>
    </row>
    <row r="422" spans="1:4" hidden="1" x14ac:dyDescent="0.35">
      <c r="A422" s="1">
        <v>46603</v>
      </c>
      <c r="B422" s="2">
        <v>46290</v>
      </c>
      <c r="C422" s="21" t="s">
        <v>7</v>
      </c>
      <c r="D422" s="21">
        <f>IFERROR(VLOOKUP(RIT_FUSIONS[[#This Row],[ID]],RIT_ACUM!A:A,1,0),"NOVO")</f>
        <v>46603</v>
      </c>
    </row>
    <row r="423" spans="1:4" hidden="1" x14ac:dyDescent="0.35">
      <c r="A423" s="1">
        <v>46602</v>
      </c>
      <c r="B423" s="2">
        <v>46290</v>
      </c>
      <c r="C423" s="21" t="s">
        <v>19</v>
      </c>
      <c r="D423" s="21">
        <f>IFERROR(VLOOKUP(RIT_FUSIONS[[#This Row],[ID]],RIT_ACUM!A:A,1,0),"NOVO")</f>
        <v>46602</v>
      </c>
    </row>
    <row r="424" spans="1:4" hidden="1" x14ac:dyDescent="0.35">
      <c r="A424" s="1">
        <v>46600</v>
      </c>
      <c r="B424" s="2">
        <v>46290</v>
      </c>
      <c r="C424" s="21" t="s">
        <v>9</v>
      </c>
      <c r="D424" s="21">
        <f>IFERROR(VLOOKUP(RIT_FUSIONS[[#This Row],[ID]],RIT_ACUM!A:A,1,0),"NOVO")</f>
        <v>46600</v>
      </c>
    </row>
    <row r="425" spans="1:4" hidden="1" x14ac:dyDescent="0.35">
      <c r="A425" s="1">
        <v>46599</v>
      </c>
      <c r="B425" s="2">
        <v>46290</v>
      </c>
      <c r="C425" s="21" t="s">
        <v>9</v>
      </c>
      <c r="D425" s="21">
        <f>IFERROR(VLOOKUP(RIT_FUSIONS[[#This Row],[ID]],RIT_ACUM!A:A,1,0),"NOVO")</f>
        <v>46599</v>
      </c>
    </row>
    <row r="426" spans="1:4" hidden="1" x14ac:dyDescent="0.35">
      <c r="A426" s="1">
        <v>46597</v>
      </c>
      <c r="B426" s="2">
        <v>46290</v>
      </c>
      <c r="C426" s="21" t="s">
        <v>24</v>
      </c>
      <c r="D426" s="21">
        <f>IFERROR(VLOOKUP(RIT_FUSIONS[[#This Row],[ID]],RIT_ACUM!A:A,1,0),"NOVO")</f>
        <v>46597</v>
      </c>
    </row>
    <row r="427" spans="1:4" hidden="1" x14ac:dyDescent="0.35">
      <c r="A427" s="1">
        <v>46596</v>
      </c>
      <c r="B427" s="2">
        <v>46290</v>
      </c>
      <c r="C427" s="21" t="s">
        <v>24</v>
      </c>
      <c r="D427" s="21">
        <f>IFERROR(VLOOKUP(RIT_FUSIONS[[#This Row],[ID]],RIT_ACUM!A:A,1,0),"NOVO")</f>
        <v>46596</v>
      </c>
    </row>
    <row r="428" spans="1:4" hidden="1" x14ac:dyDescent="0.35">
      <c r="A428" s="1">
        <v>46595</v>
      </c>
      <c r="B428" s="2">
        <v>46290</v>
      </c>
      <c r="C428" s="21" t="s">
        <v>24</v>
      </c>
      <c r="D428" s="21">
        <f>IFERROR(VLOOKUP(RIT_FUSIONS[[#This Row],[ID]],RIT_ACUM!A:A,1,0),"NOVO")</f>
        <v>46595</v>
      </c>
    </row>
    <row r="429" spans="1:4" hidden="1" x14ac:dyDescent="0.35">
      <c r="A429" s="1">
        <v>46594</v>
      </c>
      <c r="B429" s="2">
        <v>46290</v>
      </c>
      <c r="C429" s="21" t="s">
        <v>24</v>
      </c>
      <c r="D429" s="21">
        <f>IFERROR(VLOOKUP(RIT_FUSIONS[[#This Row],[ID]],RIT_ACUM!A:A,1,0),"NOVO")</f>
        <v>46594</v>
      </c>
    </row>
    <row r="430" spans="1:4" hidden="1" x14ac:dyDescent="0.35">
      <c r="A430" s="1">
        <v>46593</v>
      </c>
      <c r="B430" s="2">
        <v>46290</v>
      </c>
      <c r="C430" s="21" t="s">
        <v>24</v>
      </c>
      <c r="D430" s="21">
        <f>IFERROR(VLOOKUP(RIT_FUSIONS[[#This Row],[ID]],RIT_ACUM!A:A,1,0),"NOVO")</f>
        <v>46593</v>
      </c>
    </row>
    <row r="431" spans="1:4" hidden="1" x14ac:dyDescent="0.35">
      <c r="A431" s="1">
        <v>46592</v>
      </c>
      <c r="B431" s="2">
        <v>46290</v>
      </c>
      <c r="C431" s="21" t="s">
        <v>24</v>
      </c>
      <c r="D431" s="21">
        <f>IFERROR(VLOOKUP(RIT_FUSIONS[[#This Row],[ID]],RIT_ACUM!A:A,1,0),"NOVO")</f>
        <v>46592</v>
      </c>
    </row>
    <row r="432" spans="1:4" hidden="1" x14ac:dyDescent="0.35">
      <c r="A432" s="1">
        <v>46591</v>
      </c>
      <c r="B432" s="2">
        <v>46290</v>
      </c>
      <c r="C432" s="21" t="s">
        <v>24</v>
      </c>
      <c r="D432" s="21">
        <f>IFERROR(VLOOKUP(RIT_FUSIONS[[#This Row],[ID]],RIT_ACUM!A:A,1,0),"NOVO")</f>
        <v>46591</v>
      </c>
    </row>
    <row r="433" spans="1:4" hidden="1" x14ac:dyDescent="0.35">
      <c r="A433" s="1">
        <v>46590</v>
      </c>
      <c r="B433" s="2">
        <v>46290</v>
      </c>
      <c r="C433" s="21" t="s">
        <v>24</v>
      </c>
      <c r="D433" s="21">
        <f>IFERROR(VLOOKUP(RIT_FUSIONS[[#This Row],[ID]],RIT_ACUM!A:A,1,0),"NOVO")</f>
        <v>46590</v>
      </c>
    </row>
    <row r="434" spans="1:4" hidden="1" x14ac:dyDescent="0.35">
      <c r="A434" s="1">
        <v>46589</v>
      </c>
      <c r="B434" s="2">
        <v>46290</v>
      </c>
      <c r="C434" s="21" t="s">
        <v>24</v>
      </c>
      <c r="D434" s="21">
        <f>IFERROR(VLOOKUP(RIT_FUSIONS[[#This Row],[ID]],RIT_ACUM!A:A,1,0),"NOVO")</f>
        <v>46589</v>
      </c>
    </row>
    <row r="435" spans="1:4" hidden="1" x14ac:dyDescent="0.35">
      <c r="A435" s="1">
        <v>46588</v>
      </c>
      <c r="B435" s="2">
        <v>46290</v>
      </c>
      <c r="C435" s="21" t="s">
        <v>24</v>
      </c>
      <c r="D435" s="21">
        <f>IFERROR(VLOOKUP(RIT_FUSIONS[[#This Row],[ID]],RIT_ACUM!A:A,1,0),"NOVO")</f>
        <v>46588</v>
      </c>
    </row>
    <row r="436" spans="1:4" hidden="1" x14ac:dyDescent="0.35">
      <c r="A436" s="1">
        <v>46587</v>
      </c>
      <c r="B436" s="2">
        <v>46290</v>
      </c>
      <c r="C436" s="21" t="s">
        <v>24</v>
      </c>
      <c r="D436" s="21">
        <f>IFERROR(VLOOKUP(RIT_FUSIONS[[#This Row],[ID]],RIT_ACUM!A:A,1,0),"NOVO")</f>
        <v>46587</v>
      </c>
    </row>
    <row r="437" spans="1:4" hidden="1" x14ac:dyDescent="0.35">
      <c r="A437" s="1">
        <v>46586</v>
      </c>
      <c r="B437" s="2">
        <v>46290</v>
      </c>
      <c r="C437" s="21" t="s">
        <v>24</v>
      </c>
      <c r="D437" s="21">
        <f>IFERROR(VLOOKUP(RIT_FUSIONS[[#This Row],[ID]],RIT_ACUM!A:A,1,0),"NOVO")</f>
        <v>46586</v>
      </c>
    </row>
    <row r="438" spans="1:4" hidden="1" x14ac:dyDescent="0.35">
      <c r="A438" s="1">
        <v>46585</v>
      </c>
      <c r="B438" s="2">
        <v>46290</v>
      </c>
      <c r="C438" s="21" t="s">
        <v>24</v>
      </c>
      <c r="D438" s="21">
        <f>IFERROR(VLOOKUP(RIT_FUSIONS[[#This Row],[ID]],RIT_ACUM!A:A,1,0),"NOVO")</f>
        <v>46585</v>
      </c>
    </row>
    <row r="439" spans="1:4" hidden="1" x14ac:dyDescent="0.35">
      <c r="A439" s="1">
        <v>46584</v>
      </c>
      <c r="B439" s="2">
        <v>46290</v>
      </c>
      <c r="C439" s="21" t="s">
        <v>24</v>
      </c>
      <c r="D439" s="21">
        <f>IFERROR(VLOOKUP(RIT_FUSIONS[[#This Row],[ID]],RIT_ACUM!A:A,1,0),"NOVO")</f>
        <v>46584</v>
      </c>
    </row>
    <row r="440" spans="1:4" hidden="1" x14ac:dyDescent="0.35">
      <c r="A440" s="1">
        <v>46583</v>
      </c>
      <c r="B440" s="2">
        <v>46290</v>
      </c>
      <c r="C440" s="21" t="s">
        <v>24</v>
      </c>
      <c r="D440" s="21">
        <f>IFERROR(VLOOKUP(RIT_FUSIONS[[#This Row],[ID]],RIT_ACUM!A:A,1,0),"NOVO")</f>
        <v>46583</v>
      </c>
    </row>
    <row r="441" spans="1:4" hidden="1" x14ac:dyDescent="0.35">
      <c r="A441" s="1">
        <v>46582</v>
      </c>
      <c r="B441" s="2">
        <v>46290</v>
      </c>
      <c r="C441" s="21" t="s">
        <v>8</v>
      </c>
      <c r="D441" s="21">
        <f>IFERROR(VLOOKUP(RIT_FUSIONS[[#This Row],[ID]],RIT_ACUM!A:A,1,0),"NOVO")</f>
        <v>46582</v>
      </c>
    </row>
    <row r="442" spans="1:4" hidden="1" x14ac:dyDescent="0.35">
      <c r="A442" s="1">
        <v>46581</v>
      </c>
      <c r="B442" s="2">
        <v>46290</v>
      </c>
      <c r="C442" s="21" t="s">
        <v>8</v>
      </c>
      <c r="D442" s="21">
        <f>IFERROR(VLOOKUP(RIT_FUSIONS[[#This Row],[ID]],RIT_ACUM!A:A,1,0),"NOVO")</f>
        <v>46581</v>
      </c>
    </row>
    <row r="443" spans="1:4" hidden="1" x14ac:dyDescent="0.35">
      <c r="A443" s="1">
        <v>46580</v>
      </c>
      <c r="B443" s="2">
        <v>46289</v>
      </c>
      <c r="C443" s="21" t="s">
        <v>17</v>
      </c>
      <c r="D443" s="21">
        <f>IFERROR(VLOOKUP(RIT_FUSIONS[[#This Row],[ID]],RIT_ACUM!A:A,1,0),"NOVO")</f>
        <v>46580</v>
      </c>
    </row>
    <row r="444" spans="1:4" hidden="1" x14ac:dyDescent="0.35">
      <c r="A444" s="1">
        <v>46579</v>
      </c>
      <c r="B444" s="2">
        <v>46289</v>
      </c>
      <c r="C444" s="21" t="s">
        <v>17</v>
      </c>
      <c r="D444" s="21">
        <f>IFERROR(VLOOKUP(RIT_FUSIONS[[#This Row],[ID]],RIT_ACUM!A:A,1,0),"NOVO")</f>
        <v>46579</v>
      </c>
    </row>
    <row r="445" spans="1:4" hidden="1" x14ac:dyDescent="0.35">
      <c r="A445" s="1">
        <v>46578</v>
      </c>
      <c r="B445" s="2">
        <v>46289</v>
      </c>
      <c r="C445" s="21" t="s">
        <v>23</v>
      </c>
      <c r="D445" s="21">
        <f>IFERROR(VLOOKUP(RIT_FUSIONS[[#This Row],[ID]],RIT_ACUM!A:A,1,0),"NOVO")</f>
        <v>46578</v>
      </c>
    </row>
    <row r="446" spans="1:4" hidden="1" x14ac:dyDescent="0.35">
      <c r="A446" s="1">
        <v>46577</v>
      </c>
      <c r="B446" s="2">
        <v>46289</v>
      </c>
      <c r="C446" s="21" t="s">
        <v>23</v>
      </c>
      <c r="D446" s="21">
        <f>IFERROR(VLOOKUP(RIT_FUSIONS[[#This Row],[ID]],RIT_ACUM!A:A,1,0),"NOVO")</f>
        <v>46577</v>
      </c>
    </row>
    <row r="447" spans="1:4" hidden="1" x14ac:dyDescent="0.35">
      <c r="A447" s="1">
        <v>46576</v>
      </c>
      <c r="B447" s="2">
        <v>46289</v>
      </c>
      <c r="C447" s="21" t="s">
        <v>9</v>
      </c>
      <c r="D447" s="21">
        <f>IFERROR(VLOOKUP(RIT_FUSIONS[[#This Row],[ID]],RIT_ACUM!A:A,1,0),"NOVO")</f>
        <v>46576</v>
      </c>
    </row>
    <row r="448" spans="1:4" hidden="1" x14ac:dyDescent="0.35">
      <c r="A448" s="1">
        <v>46575</v>
      </c>
      <c r="B448" s="2">
        <v>46289</v>
      </c>
      <c r="C448" s="21" t="s">
        <v>17</v>
      </c>
      <c r="D448" s="21">
        <f>IFERROR(VLOOKUP(RIT_FUSIONS[[#This Row],[ID]],RIT_ACUM!A:A,1,0),"NOVO")</f>
        <v>46575</v>
      </c>
    </row>
    <row r="449" spans="1:4" hidden="1" x14ac:dyDescent="0.35">
      <c r="A449" s="1">
        <v>46574</v>
      </c>
      <c r="B449" s="2">
        <v>46289</v>
      </c>
      <c r="C449" s="21" t="s">
        <v>9</v>
      </c>
      <c r="D449" s="21">
        <f>IFERROR(VLOOKUP(RIT_FUSIONS[[#This Row],[ID]],RIT_ACUM!A:A,1,0),"NOVO")</f>
        <v>46574</v>
      </c>
    </row>
    <row r="450" spans="1:4" hidden="1" x14ac:dyDescent="0.35">
      <c r="A450" s="1">
        <v>46573</v>
      </c>
      <c r="B450" s="2">
        <v>46289</v>
      </c>
      <c r="C450" s="21" t="s">
        <v>9</v>
      </c>
      <c r="D450" s="21">
        <f>IFERROR(VLOOKUP(RIT_FUSIONS[[#This Row],[ID]],RIT_ACUM!A:A,1,0),"NOVO")</f>
        <v>46573</v>
      </c>
    </row>
    <row r="451" spans="1:4" hidden="1" x14ac:dyDescent="0.35">
      <c r="A451" s="1">
        <v>46571</v>
      </c>
      <c r="B451" s="2">
        <v>46289</v>
      </c>
      <c r="C451" s="21" t="s">
        <v>7</v>
      </c>
      <c r="D451" s="21">
        <f>IFERROR(VLOOKUP(RIT_FUSIONS[[#This Row],[ID]],RIT_ACUM!A:A,1,0),"NOVO")</f>
        <v>46571</v>
      </c>
    </row>
    <row r="452" spans="1:4" hidden="1" x14ac:dyDescent="0.35">
      <c r="A452" s="1">
        <v>46570</v>
      </c>
      <c r="B452" s="2">
        <v>46289</v>
      </c>
      <c r="C452" s="21" t="s">
        <v>4</v>
      </c>
      <c r="D452" s="21">
        <f>IFERROR(VLOOKUP(RIT_FUSIONS[[#This Row],[ID]],RIT_ACUM!A:A,1,0),"NOVO")</f>
        <v>46570</v>
      </c>
    </row>
    <row r="453" spans="1:4" hidden="1" x14ac:dyDescent="0.35">
      <c r="A453" s="1">
        <v>46569</v>
      </c>
      <c r="B453" s="2">
        <v>46289</v>
      </c>
      <c r="C453" s="21" t="s">
        <v>6</v>
      </c>
      <c r="D453" s="21">
        <f>IFERROR(VLOOKUP(RIT_FUSIONS[[#This Row],[ID]],RIT_ACUM!A:A,1,0),"NOVO")</f>
        <v>46569</v>
      </c>
    </row>
    <row r="454" spans="1:4" hidden="1" x14ac:dyDescent="0.35">
      <c r="A454" s="1">
        <v>46568</v>
      </c>
      <c r="B454" s="2">
        <v>46289</v>
      </c>
      <c r="C454" s="21" t="s">
        <v>6</v>
      </c>
      <c r="D454" s="21">
        <f>IFERROR(VLOOKUP(RIT_FUSIONS[[#This Row],[ID]],RIT_ACUM!A:A,1,0),"NOVO")</f>
        <v>46568</v>
      </c>
    </row>
    <row r="455" spans="1:4" hidden="1" x14ac:dyDescent="0.35">
      <c r="A455" s="1">
        <v>46567</v>
      </c>
      <c r="B455" s="2">
        <v>46289</v>
      </c>
      <c r="C455" s="21" t="s">
        <v>4</v>
      </c>
      <c r="D455" s="21">
        <f>IFERROR(VLOOKUP(RIT_FUSIONS[[#This Row],[ID]],RIT_ACUM!A:A,1,0),"NOVO")</f>
        <v>46567</v>
      </c>
    </row>
    <row r="456" spans="1:4" hidden="1" x14ac:dyDescent="0.35">
      <c r="A456" s="1">
        <v>46566</v>
      </c>
      <c r="B456" s="2">
        <v>46289</v>
      </c>
      <c r="C456" s="21" t="s">
        <v>10</v>
      </c>
      <c r="D456" s="21">
        <f>IFERROR(VLOOKUP(RIT_FUSIONS[[#This Row],[ID]],RIT_ACUM!A:A,1,0),"NOVO")</f>
        <v>46566</v>
      </c>
    </row>
    <row r="457" spans="1:4" hidden="1" x14ac:dyDescent="0.35">
      <c r="A457" s="1">
        <v>46565</v>
      </c>
      <c r="B457" s="2">
        <v>46289</v>
      </c>
      <c r="C457" s="21" t="s">
        <v>10</v>
      </c>
      <c r="D457" s="21">
        <f>IFERROR(VLOOKUP(RIT_FUSIONS[[#This Row],[ID]],RIT_ACUM!A:A,1,0),"NOVO")</f>
        <v>46565</v>
      </c>
    </row>
    <row r="458" spans="1:4" hidden="1" x14ac:dyDescent="0.35">
      <c r="A458" s="1">
        <v>46564</v>
      </c>
      <c r="B458" s="2">
        <v>46289</v>
      </c>
      <c r="C458" s="21" t="s">
        <v>3</v>
      </c>
      <c r="D458" s="21">
        <f>IFERROR(VLOOKUP(RIT_FUSIONS[[#This Row],[ID]],RIT_ACUM!A:A,1,0),"NOVO")</f>
        <v>46564</v>
      </c>
    </row>
    <row r="459" spans="1:4" hidden="1" x14ac:dyDescent="0.35">
      <c r="A459" s="1">
        <v>46563</v>
      </c>
      <c r="B459" s="2">
        <v>46289</v>
      </c>
      <c r="C459" s="21" t="s">
        <v>3</v>
      </c>
      <c r="D459" s="21">
        <f>IFERROR(VLOOKUP(RIT_FUSIONS[[#This Row],[ID]],RIT_ACUM!A:A,1,0),"NOVO")</f>
        <v>46563</v>
      </c>
    </row>
    <row r="460" spans="1:4" hidden="1" x14ac:dyDescent="0.35">
      <c r="A460" s="1">
        <v>46562</v>
      </c>
      <c r="B460" s="2">
        <v>46289</v>
      </c>
      <c r="C460" s="21" t="s">
        <v>3</v>
      </c>
      <c r="D460" s="21">
        <f>IFERROR(VLOOKUP(RIT_FUSIONS[[#This Row],[ID]],RIT_ACUM!A:A,1,0),"NOVO")</f>
        <v>46562</v>
      </c>
    </row>
    <row r="461" spans="1:4" hidden="1" x14ac:dyDescent="0.35">
      <c r="A461" s="1">
        <v>46561</v>
      </c>
      <c r="B461" s="2">
        <v>46289</v>
      </c>
      <c r="C461" s="21" t="s">
        <v>3</v>
      </c>
      <c r="D461" s="21">
        <f>IFERROR(VLOOKUP(RIT_FUSIONS[[#This Row],[ID]],RIT_ACUM!A:A,1,0),"NOVO")</f>
        <v>46561</v>
      </c>
    </row>
    <row r="462" spans="1:4" hidden="1" x14ac:dyDescent="0.35">
      <c r="A462" s="1">
        <v>46560</v>
      </c>
      <c r="B462" s="2">
        <v>46289</v>
      </c>
      <c r="C462" s="21" t="s">
        <v>3</v>
      </c>
      <c r="D462" s="21">
        <f>IFERROR(VLOOKUP(RIT_FUSIONS[[#This Row],[ID]],RIT_ACUM!A:A,1,0),"NOVO")</f>
        <v>46560</v>
      </c>
    </row>
    <row r="463" spans="1:4" hidden="1" x14ac:dyDescent="0.35">
      <c r="A463" s="1">
        <v>46559</v>
      </c>
      <c r="B463" s="2">
        <v>46289</v>
      </c>
      <c r="C463" s="21" t="s">
        <v>19</v>
      </c>
      <c r="D463" s="21">
        <f>IFERROR(VLOOKUP(RIT_FUSIONS[[#This Row],[ID]],RIT_ACUM!A:A,1,0),"NOVO")</f>
        <v>46559</v>
      </c>
    </row>
    <row r="464" spans="1:4" hidden="1" x14ac:dyDescent="0.35">
      <c r="A464" s="1">
        <v>46558</v>
      </c>
      <c r="B464" s="2">
        <v>46289</v>
      </c>
      <c r="C464" s="21" t="s">
        <v>19</v>
      </c>
      <c r="D464" s="21">
        <f>IFERROR(VLOOKUP(RIT_FUSIONS[[#This Row],[ID]],RIT_ACUM!A:A,1,0),"NOVO")</f>
        <v>46558</v>
      </c>
    </row>
    <row r="465" spans="1:4" hidden="1" x14ac:dyDescent="0.35">
      <c r="A465" s="1">
        <v>46557</v>
      </c>
      <c r="B465" s="2">
        <v>46289</v>
      </c>
      <c r="C465" s="21" t="s">
        <v>9</v>
      </c>
      <c r="D465" s="21">
        <f>IFERROR(VLOOKUP(RIT_FUSIONS[[#This Row],[ID]],RIT_ACUM!A:A,1,0),"NOVO")</f>
        <v>46557</v>
      </c>
    </row>
    <row r="466" spans="1:4" hidden="1" x14ac:dyDescent="0.35">
      <c r="A466" s="1">
        <v>46556</v>
      </c>
      <c r="B466" s="2">
        <v>46289</v>
      </c>
      <c r="C466" s="21" t="s">
        <v>9</v>
      </c>
      <c r="D466" s="21">
        <f>IFERROR(VLOOKUP(RIT_FUSIONS[[#This Row],[ID]],RIT_ACUM!A:A,1,0),"NOVO")</f>
        <v>46556</v>
      </c>
    </row>
    <row r="467" spans="1:4" hidden="1" x14ac:dyDescent="0.35">
      <c r="A467" s="1">
        <v>46555</v>
      </c>
      <c r="B467" s="2">
        <v>46289</v>
      </c>
      <c r="C467" s="21" t="s">
        <v>7</v>
      </c>
      <c r="D467" s="21">
        <f>IFERROR(VLOOKUP(RIT_FUSIONS[[#This Row],[ID]],RIT_ACUM!A:A,1,0),"NOVO")</f>
        <v>46555</v>
      </c>
    </row>
    <row r="468" spans="1:4" hidden="1" x14ac:dyDescent="0.35">
      <c r="A468" s="1">
        <v>46551</v>
      </c>
      <c r="B468" s="2">
        <v>46288</v>
      </c>
      <c r="C468" s="21" t="s">
        <v>10</v>
      </c>
      <c r="D468" s="21">
        <f>IFERROR(VLOOKUP(RIT_FUSIONS[[#This Row],[ID]],RIT_ACUM!A:A,1,0),"NOVO")</f>
        <v>46551</v>
      </c>
    </row>
    <row r="469" spans="1:4" hidden="1" x14ac:dyDescent="0.35">
      <c r="A469" s="1">
        <v>46550</v>
      </c>
      <c r="B469" s="2">
        <v>46288</v>
      </c>
      <c r="C469" s="21" t="s">
        <v>10</v>
      </c>
      <c r="D469" s="21">
        <f>IFERROR(VLOOKUP(RIT_FUSIONS[[#This Row],[ID]],RIT_ACUM!A:A,1,0),"NOVO")</f>
        <v>46550</v>
      </c>
    </row>
    <row r="470" spans="1:4" hidden="1" x14ac:dyDescent="0.35">
      <c r="A470" s="1">
        <v>46549</v>
      </c>
      <c r="B470" s="2">
        <v>46288</v>
      </c>
      <c r="C470" s="21" t="s">
        <v>11</v>
      </c>
      <c r="D470" s="21">
        <f>IFERROR(VLOOKUP(RIT_FUSIONS[[#This Row],[ID]],RIT_ACUM!A:A,1,0),"NOVO")</f>
        <v>46549</v>
      </c>
    </row>
    <row r="471" spans="1:4" hidden="1" x14ac:dyDescent="0.35">
      <c r="A471" s="1">
        <v>46548</v>
      </c>
      <c r="B471" s="2">
        <v>46288</v>
      </c>
      <c r="C471" s="21" t="s">
        <v>6</v>
      </c>
      <c r="D471" s="21">
        <f>IFERROR(VLOOKUP(RIT_FUSIONS[[#This Row],[ID]],RIT_ACUM!A:A,1,0),"NOVO")</f>
        <v>46548</v>
      </c>
    </row>
    <row r="472" spans="1:4" hidden="1" x14ac:dyDescent="0.35">
      <c r="A472" s="1">
        <v>46547</v>
      </c>
      <c r="B472" s="2">
        <v>46288</v>
      </c>
      <c r="C472" s="21" t="s">
        <v>6</v>
      </c>
      <c r="D472" s="21">
        <f>IFERROR(VLOOKUP(RIT_FUSIONS[[#This Row],[ID]],RIT_ACUM!A:A,1,0),"NOVO")</f>
        <v>46547</v>
      </c>
    </row>
    <row r="473" spans="1:4" hidden="1" x14ac:dyDescent="0.35">
      <c r="A473" s="1">
        <v>46546</v>
      </c>
      <c r="B473" s="2">
        <v>46288</v>
      </c>
      <c r="C473" s="21" t="s">
        <v>23</v>
      </c>
      <c r="D473" s="21">
        <f>IFERROR(VLOOKUP(RIT_FUSIONS[[#This Row],[ID]],RIT_ACUM!A:A,1,0),"NOVO")</f>
        <v>46546</v>
      </c>
    </row>
    <row r="474" spans="1:4" hidden="1" x14ac:dyDescent="0.35">
      <c r="A474" s="1">
        <v>46545</v>
      </c>
      <c r="B474" s="2">
        <v>46288</v>
      </c>
      <c r="C474" s="21" t="s">
        <v>23</v>
      </c>
      <c r="D474" s="21">
        <f>IFERROR(VLOOKUP(RIT_FUSIONS[[#This Row],[ID]],RIT_ACUM!A:A,1,0),"NOVO")</f>
        <v>46545</v>
      </c>
    </row>
    <row r="475" spans="1:4" hidden="1" x14ac:dyDescent="0.35">
      <c r="A475" s="1">
        <v>46544</v>
      </c>
      <c r="B475" s="2">
        <v>46288</v>
      </c>
      <c r="C475" s="21" t="s">
        <v>4</v>
      </c>
      <c r="D475" s="21">
        <f>IFERROR(VLOOKUP(RIT_FUSIONS[[#This Row],[ID]],RIT_ACUM!A:A,1,0),"NOVO")</f>
        <v>46544</v>
      </c>
    </row>
    <row r="476" spans="1:4" hidden="1" x14ac:dyDescent="0.35">
      <c r="A476" s="1">
        <v>46543</v>
      </c>
      <c r="B476" s="2">
        <v>46288</v>
      </c>
      <c r="C476" s="21" t="s">
        <v>4</v>
      </c>
      <c r="D476" s="21">
        <f>IFERROR(VLOOKUP(RIT_FUSIONS[[#This Row],[ID]],RIT_ACUM!A:A,1,0),"NOVO")</f>
        <v>46543</v>
      </c>
    </row>
    <row r="477" spans="1:4" hidden="1" x14ac:dyDescent="0.35">
      <c r="A477" s="1">
        <v>46542</v>
      </c>
      <c r="B477" s="2">
        <v>46288</v>
      </c>
      <c r="C477" s="21" t="s">
        <v>4</v>
      </c>
      <c r="D477" s="21">
        <f>IFERROR(VLOOKUP(RIT_FUSIONS[[#This Row],[ID]],RIT_ACUM!A:A,1,0),"NOVO")</f>
        <v>46542</v>
      </c>
    </row>
    <row r="478" spans="1:4" hidden="1" x14ac:dyDescent="0.35">
      <c r="A478" s="1">
        <v>46541</v>
      </c>
      <c r="B478" s="2">
        <v>46288</v>
      </c>
      <c r="C478" s="21" t="s">
        <v>17</v>
      </c>
      <c r="D478" s="21">
        <f>IFERROR(VLOOKUP(RIT_FUSIONS[[#This Row],[ID]],RIT_ACUM!A:A,1,0),"NOVO")</f>
        <v>46541</v>
      </c>
    </row>
    <row r="479" spans="1:4" hidden="1" x14ac:dyDescent="0.35">
      <c r="A479" s="1">
        <v>46540</v>
      </c>
      <c r="B479" s="2">
        <v>46288</v>
      </c>
      <c r="C479" s="21" t="s">
        <v>17</v>
      </c>
      <c r="D479" s="21">
        <f>IFERROR(VLOOKUP(RIT_FUSIONS[[#This Row],[ID]],RIT_ACUM!A:A,1,0),"NOVO")</f>
        <v>46540</v>
      </c>
    </row>
    <row r="480" spans="1:4" hidden="1" x14ac:dyDescent="0.35">
      <c r="A480" s="1">
        <v>46533</v>
      </c>
      <c r="B480" s="2">
        <v>46288</v>
      </c>
      <c r="C480" s="21" t="s">
        <v>3</v>
      </c>
      <c r="D480" s="21">
        <f>IFERROR(VLOOKUP(RIT_FUSIONS[[#This Row],[ID]],RIT_ACUM!A:A,1,0),"NOVO")</f>
        <v>46533</v>
      </c>
    </row>
    <row r="481" spans="1:4" hidden="1" x14ac:dyDescent="0.35">
      <c r="A481" s="1">
        <v>46531</v>
      </c>
      <c r="B481" s="2">
        <v>46288</v>
      </c>
      <c r="C481" s="21" t="s">
        <v>28</v>
      </c>
      <c r="D481" s="21">
        <f>IFERROR(VLOOKUP(RIT_FUSIONS[[#This Row],[ID]],RIT_ACUM!A:A,1,0),"NOVO")</f>
        <v>46531</v>
      </c>
    </row>
    <row r="482" spans="1:4" hidden="1" x14ac:dyDescent="0.35">
      <c r="A482" s="1">
        <v>46529</v>
      </c>
      <c r="B482" s="2">
        <v>46288</v>
      </c>
      <c r="C482" s="21" t="s">
        <v>3</v>
      </c>
      <c r="D482" s="21">
        <f>IFERROR(VLOOKUP(RIT_FUSIONS[[#This Row],[ID]],RIT_ACUM!A:A,1,0),"NOVO")</f>
        <v>46529</v>
      </c>
    </row>
    <row r="483" spans="1:4" hidden="1" x14ac:dyDescent="0.35">
      <c r="A483" s="1">
        <v>46528</v>
      </c>
      <c r="B483" s="2">
        <v>46288</v>
      </c>
      <c r="C483" s="21" t="s">
        <v>28</v>
      </c>
      <c r="D483" s="21">
        <f>IFERROR(VLOOKUP(RIT_FUSIONS[[#This Row],[ID]],RIT_ACUM!A:A,1,0),"NOVO")</f>
        <v>46528</v>
      </c>
    </row>
    <row r="484" spans="1:4" hidden="1" x14ac:dyDescent="0.35">
      <c r="A484" s="1">
        <v>46527</v>
      </c>
      <c r="B484" s="2">
        <v>46288</v>
      </c>
      <c r="C484" s="21" t="s">
        <v>28</v>
      </c>
      <c r="D484" s="21">
        <f>IFERROR(VLOOKUP(RIT_FUSIONS[[#This Row],[ID]],RIT_ACUM!A:A,1,0),"NOVO")</f>
        <v>46527</v>
      </c>
    </row>
    <row r="485" spans="1:4" hidden="1" x14ac:dyDescent="0.35">
      <c r="A485" s="1">
        <v>46526</v>
      </c>
      <c r="B485" s="2">
        <v>46288</v>
      </c>
      <c r="C485" s="21" t="s">
        <v>28</v>
      </c>
      <c r="D485" s="21">
        <f>IFERROR(VLOOKUP(RIT_FUSIONS[[#This Row],[ID]],RIT_ACUM!A:A,1,0),"NOVO")</f>
        <v>46526</v>
      </c>
    </row>
    <row r="486" spans="1:4" hidden="1" x14ac:dyDescent="0.35">
      <c r="A486" s="1">
        <v>46525</v>
      </c>
      <c r="B486" s="2">
        <v>46288</v>
      </c>
      <c r="C486" s="21" t="s">
        <v>28</v>
      </c>
      <c r="D486" s="21">
        <f>IFERROR(VLOOKUP(RIT_FUSIONS[[#This Row],[ID]],RIT_ACUM!A:A,1,0),"NOVO")</f>
        <v>46525</v>
      </c>
    </row>
    <row r="487" spans="1:4" hidden="1" x14ac:dyDescent="0.35">
      <c r="A487" s="1">
        <v>46524</v>
      </c>
      <c r="B487" s="2">
        <v>46288</v>
      </c>
      <c r="C487" s="21" t="s">
        <v>9</v>
      </c>
      <c r="D487" s="21">
        <f>IFERROR(VLOOKUP(RIT_FUSIONS[[#This Row],[ID]],RIT_ACUM!A:A,1,0),"NOVO")</f>
        <v>46524</v>
      </c>
    </row>
    <row r="488" spans="1:4" hidden="1" x14ac:dyDescent="0.35">
      <c r="A488" s="1">
        <v>46523</v>
      </c>
      <c r="B488" s="2">
        <v>46288</v>
      </c>
      <c r="C488" s="21" t="s">
        <v>9</v>
      </c>
      <c r="D488" s="21">
        <f>IFERROR(VLOOKUP(RIT_FUSIONS[[#This Row],[ID]],RIT_ACUM!A:A,1,0),"NOVO")</f>
        <v>46523</v>
      </c>
    </row>
    <row r="489" spans="1:4" hidden="1" x14ac:dyDescent="0.35">
      <c r="A489" s="1">
        <v>46522</v>
      </c>
      <c r="B489" s="2">
        <v>46288</v>
      </c>
      <c r="C489" s="21" t="s">
        <v>21</v>
      </c>
      <c r="D489" s="21">
        <f>IFERROR(VLOOKUP(RIT_FUSIONS[[#This Row],[ID]],RIT_ACUM!A:A,1,0),"NOVO")</f>
        <v>46522</v>
      </c>
    </row>
    <row r="490" spans="1:4" hidden="1" x14ac:dyDescent="0.35">
      <c r="A490" s="1">
        <v>46521</v>
      </c>
      <c r="B490" s="2">
        <v>46288</v>
      </c>
      <c r="C490" s="21" t="s">
        <v>21</v>
      </c>
      <c r="D490" s="21">
        <f>IFERROR(VLOOKUP(RIT_FUSIONS[[#This Row],[ID]],RIT_ACUM!A:A,1,0),"NOVO")</f>
        <v>46521</v>
      </c>
    </row>
    <row r="491" spans="1:4" hidden="1" x14ac:dyDescent="0.35">
      <c r="A491" s="1">
        <v>46519</v>
      </c>
      <c r="B491" s="2">
        <v>46288</v>
      </c>
      <c r="C491" s="21" t="s">
        <v>9</v>
      </c>
      <c r="D491" s="21">
        <f>IFERROR(VLOOKUP(RIT_FUSIONS[[#This Row],[ID]],RIT_ACUM!A:A,1,0),"NOVO")</f>
        <v>46519</v>
      </c>
    </row>
    <row r="492" spans="1:4" hidden="1" x14ac:dyDescent="0.35">
      <c r="A492" s="1">
        <v>46517</v>
      </c>
      <c r="B492" s="2">
        <v>46288</v>
      </c>
      <c r="C492" s="21" t="s">
        <v>19</v>
      </c>
      <c r="D492" s="21">
        <f>IFERROR(VLOOKUP(RIT_FUSIONS[[#This Row],[ID]],RIT_ACUM!A:A,1,0),"NOVO")</f>
        <v>46517</v>
      </c>
    </row>
    <row r="493" spans="1:4" hidden="1" x14ac:dyDescent="0.35">
      <c r="A493" s="1">
        <v>46516</v>
      </c>
      <c r="B493" s="2">
        <v>46288</v>
      </c>
      <c r="C493" s="21" t="s">
        <v>3</v>
      </c>
      <c r="D493" s="21">
        <f>IFERROR(VLOOKUP(RIT_FUSIONS[[#This Row],[ID]],RIT_ACUM!A:A,1,0),"NOVO")</f>
        <v>46516</v>
      </c>
    </row>
    <row r="494" spans="1:4" hidden="1" x14ac:dyDescent="0.35">
      <c r="A494" s="1">
        <v>46515</v>
      </c>
      <c r="B494" s="2">
        <v>46288</v>
      </c>
      <c r="C494" s="21" t="s">
        <v>21</v>
      </c>
      <c r="D494" s="21">
        <f>IFERROR(VLOOKUP(RIT_FUSIONS[[#This Row],[ID]],RIT_ACUM!A:A,1,0),"NOVO")</f>
        <v>46515</v>
      </c>
    </row>
    <row r="495" spans="1:4" hidden="1" x14ac:dyDescent="0.35">
      <c r="A495" s="1">
        <v>46514</v>
      </c>
      <c r="B495" s="2">
        <v>46288</v>
      </c>
      <c r="C495" s="21" t="s">
        <v>21</v>
      </c>
      <c r="D495" s="21">
        <f>IFERROR(VLOOKUP(RIT_FUSIONS[[#This Row],[ID]],RIT_ACUM!A:A,1,0),"NOVO")</f>
        <v>46514</v>
      </c>
    </row>
    <row r="496" spans="1:4" hidden="1" x14ac:dyDescent="0.35">
      <c r="A496" s="1">
        <v>46513</v>
      </c>
      <c r="B496" s="2">
        <v>46288</v>
      </c>
      <c r="C496" s="21" t="s">
        <v>3</v>
      </c>
      <c r="D496" s="21">
        <f>IFERROR(VLOOKUP(RIT_FUSIONS[[#This Row],[ID]],RIT_ACUM!A:A,1,0),"NOVO")</f>
        <v>46513</v>
      </c>
    </row>
    <row r="497" spans="1:4" hidden="1" x14ac:dyDescent="0.35">
      <c r="A497" s="1">
        <v>46512</v>
      </c>
      <c r="B497" s="2">
        <v>46288</v>
      </c>
      <c r="C497" s="21" t="s">
        <v>21</v>
      </c>
      <c r="D497" s="21">
        <f>IFERROR(VLOOKUP(RIT_FUSIONS[[#This Row],[ID]],RIT_ACUM!A:A,1,0),"NOVO")</f>
        <v>46512</v>
      </c>
    </row>
    <row r="498" spans="1:4" hidden="1" x14ac:dyDescent="0.35">
      <c r="A498" s="1">
        <v>46510</v>
      </c>
      <c r="B498" s="2">
        <v>46288</v>
      </c>
      <c r="C498" s="21" t="s">
        <v>8</v>
      </c>
      <c r="D498" s="21">
        <f>IFERROR(VLOOKUP(RIT_FUSIONS[[#This Row],[ID]],RIT_ACUM!A:A,1,0),"NOVO")</f>
        <v>46510</v>
      </c>
    </row>
    <row r="499" spans="1:4" hidden="1" x14ac:dyDescent="0.35">
      <c r="A499" s="1">
        <v>46509</v>
      </c>
      <c r="B499" s="2">
        <v>46288</v>
      </c>
      <c r="C499" s="21" t="s">
        <v>8</v>
      </c>
      <c r="D499" s="21">
        <f>IFERROR(VLOOKUP(RIT_FUSIONS[[#This Row],[ID]],RIT_ACUM!A:A,1,0),"NOVO")</f>
        <v>46509</v>
      </c>
    </row>
    <row r="500" spans="1:4" hidden="1" x14ac:dyDescent="0.35">
      <c r="A500" s="1">
        <v>46508</v>
      </c>
      <c r="B500" s="2">
        <v>46288</v>
      </c>
      <c r="C500" s="21" t="s">
        <v>19</v>
      </c>
      <c r="D500" s="21">
        <f>IFERROR(VLOOKUP(RIT_FUSIONS[[#This Row],[ID]],RIT_ACUM!A:A,1,0),"NOVO")</f>
        <v>46508</v>
      </c>
    </row>
    <row r="501" spans="1:4" hidden="1" x14ac:dyDescent="0.35">
      <c r="A501" s="1">
        <v>46503</v>
      </c>
      <c r="B501" s="2">
        <v>46287</v>
      </c>
      <c r="C501" s="21" t="s">
        <v>28</v>
      </c>
      <c r="D501" s="21">
        <f>IFERROR(VLOOKUP(RIT_FUSIONS[[#This Row],[ID]],RIT_ACUM!A:A,1,0),"NOVO")</f>
        <v>46503</v>
      </c>
    </row>
    <row r="502" spans="1:4" hidden="1" x14ac:dyDescent="0.35">
      <c r="A502" s="1">
        <v>46502</v>
      </c>
      <c r="B502" s="2">
        <v>46287</v>
      </c>
      <c r="C502" s="21" t="s">
        <v>28</v>
      </c>
      <c r="D502" s="21">
        <f>IFERROR(VLOOKUP(RIT_FUSIONS[[#This Row],[ID]],RIT_ACUM!A:A,1,0),"NOVO")</f>
        <v>46502</v>
      </c>
    </row>
    <row r="503" spans="1:4" hidden="1" x14ac:dyDescent="0.35">
      <c r="A503" s="1">
        <v>46501</v>
      </c>
      <c r="B503" s="2">
        <v>46287</v>
      </c>
      <c r="C503" s="21" t="s">
        <v>28</v>
      </c>
      <c r="D503" s="21">
        <f>IFERROR(VLOOKUP(RIT_FUSIONS[[#This Row],[ID]],RIT_ACUM!A:A,1,0),"NOVO")</f>
        <v>46501</v>
      </c>
    </row>
    <row r="504" spans="1:4" hidden="1" x14ac:dyDescent="0.35">
      <c r="A504" s="1">
        <v>46500</v>
      </c>
      <c r="B504" s="2">
        <v>46287</v>
      </c>
      <c r="C504" s="21" t="s">
        <v>28</v>
      </c>
      <c r="D504" s="21">
        <f>IFERROR(VLOOKUP(RIT_FUSIONS[[#This Row],[ID]],RIT_ACUM!A:A,1,0),"NOVO")</f>
        <v>46500</v>
      </c>
    </row>
    <row r="505" spans="1:4" hidden="1" x14ac:dyDescent="0.35">
      <c r="A505" s="1">
        <v>46499</v>
      </c>
      <c r="B505" s="2">
        <v>46287</v>
      </c>
      <c r="C505" s="21" t="s">
        <v>28</v>
      </c>
      <c r="D505" s="21">
        <f>IFERROR(VLOOKUP(RIT_FUSIONS[[#This Row],[ID]],RIT_ACUM!A:A,1,0),"NOVO")</f>
        <v>46499</v>
      </c>
    </row>
    <row r="506" spans="1:4" hidden="1" x14ac:dyDescent="0.35">
      <c r="A506" s="1">
        <v>46498</v>
      </c>
      <c r="B506" s="2">
        <v>46287</v>
      </c>
      <c r="C506" s="21" t="s">
        <v>28</v>
      </c>
      <c r="D506" s="21">
        <f>IFERROR(VLOOKUP(RIT_FUSIONS[[#This Row],[ID]],RIT_ACUM!A:A,1,0),"NOVO")</f>
        <v>46498</v>
      </c>
    </row>
    <row r="507" spans="1:4" hidden="1" x14ac:dyDescent="0.35">
      <c r="A507" s="1">
        <v>46497</v>
      </c>
      <c r="B507" s="2">
        <v>46287</v>
      </c>
      <c r="C507" s="21" t="s">
        <v>28</v>
      </c>
      <c r="D507" s="21">
        <f>IFERROR(VLOOKUP(RIT_FUSIONS[[#This Row],[ID]],RIT_ACUM!A:A,1,0),"NOVO")</f>
        <v>46497</v>
      </c>
    </row>
    <row r="508" spans="1:4" hidden="1" x14ac:dyDescent="0.35">
      <c r="A508" s="1">
        <v>46496</v>
      </c>
      <c r="B508" s="2">
        <v>46287</v>
      </c>
      <c r="C508" s="21" t="s">
        <v>28</v>
      </c>
      <c r="D508" s="21">
        <f>IFERROR(VLOOKUP(RIT_FUSIONS[[#This Row],[ID]],RIT_ACUM!A:A,1,0),"NOVO")</f>
        <v>46496</v>
      </c>
    </row>
    <row r="509" spans="1:4" hidden="1" x14ac:dyDescent="0.35">
      <c r="A509" s="1">
        <v>46495</v>
      </c>
      <c r="B509" s="2">
        <v>46287</v>
      </c>
      <c r="C509" s="21" t="s">
        <v>28</v>
      </c>
      <c r="D509" s="21">
        <f>IFERROR(VLOOKUP(RIT_FUSIONS[[#This Row],[ID]],RIT_ACUM!A:A,1,0),"NOVO")</f>
        <v>46495</v>
      </c>
    </row>
    <row r="510" spans="1:4" hidden="1" x14ac:dyDescent="0.35">
      <c r="A510" s="1">
        <v>46494</v>
      </c>
      <c r="B510" s="2">
        <v>46287</v>
      </c>
      <c r="C510" s="21" t="s">
        <v>28</v>
      </c>
      <c r="D510" s="21">
        <f>IFERROR(VLOOKUP(RIT_FUSIONS[[#This Row],[ID]],RIT_ACUM!A:A,1,0),"NOVO")</f>
        <v>46494</v>
      </c>
    </row>
    <row r="511" spans="1:4" hidden="1" x14ac:dyDescent="0.35">
      <c r="A511" s="1">
        <v>46493</v>
      </c>
      <c r="B511" s="2">
        <v>46287</v>
      </c>
      <c r="C511" s="21" t="s">
        <v>28</v>
      </c>
      <c r="D511" s="21">
        <f>IFERROR(VLOOKUP(RIT_FUSIONS[[#This Row],[ID]],RIT_ACUM!A:A,1,0),"NOVO")</f>
        <v>46493</v>
      </c>
    </row>
    <row r="512" spans="1:4" hidden="1" x14ac:dyDescent="0.35">
      <c r="A512" s="1">
        <v>46492</v>
      </c>
      <c r="B512" s="2">
        <v>46287</v>
      </c>
      <c r="C512" s="21" t="s">
        <v>28</v>
      </c>
      <c r="D512" s="21">
        <f>IFERROR(VLOOKUP(RIT_FUSIONS[[#This Row],[ID]],RIT_ACUM!A:A,1,0),"NOVO")</f>
        <v>46492</v>
      </c>
    </row>
    <row r="513" spans="1:4" hidden="1" x14ac:dyDescent="0.35">
      <c r="A513" s="1">
        <v>46491</v>
      </c>
      <c r="B513" s="2">
        <v>46287</v>
      </c>
      <c r="C513" s="21" t="s">
        <v>28</v>
      </c>
      <c r="D513" s="21">
        <f>IFERROR(VLOOKUP(RIT_FUSIONS[[#This Row],[ID]],RIT_ACUM!A:A,1,0),"NOVO")</f>
        <v>46491</v>
      </c>
    </row>
    <row r="514" spans="1:4" hidden="1" x14ac:dyDescent="0.35">
      <c r="A514" s="1">
        <v>46487</v>
      </c>
      <c r="B514" s="2">
        <v>46287</v>
      </c>
      <c r="C514" s="21" t="s">
        <v>23</v>
      </c>
      <c r="D514" s="21">
        <f>IFERROR(VLOOKUP(RIT_FUSIONS[[#This Row],[ID]],RIT_ACUM!A:A,1,0),"NOVO")</f>
        <v>46487</v>
      </c>
    </row>
    <row r="515" spans="1:4" hidden="1" x14ac:dyDescent="0.35">
      <c r="A515" s="1">
        <v>46486</v>
      </c>
      <c r="B515" s="2">
        <v>46287</v>
      </c>
      <c r="C515" s="21" t="s">
        <v>23</v>
      </c>
      <c r="D515" s="21">
        <f>IFERROR(VLOOKUP(RIT_FUSIONS[[#This Row],[ID]],RIT_ACUM!A:A,1,0),"NOVO")</f>
        <v>46486</v>
      </c>
    </row>
    <row r="516" spans="1:4" hidden="1" x14ac:dyDescent="0.35">
      <c r="A516" s="1">
        <v>46484</v>
      </c>
      <c r="B516" s="2">
        <v>46287</v>
      </c>
      <c r="C516" s="21" t="s">
        <v>9</v>
      </c>
      <c r="D516" s="21">
        <f>IFERROR(VLOOKUP(RIT_FUSIONS[[#This Row],[ID]],RIT_ACUM!A:A,1,0),"NOVO")</f>
        <v>46484</v>
      </c>
    </row>
    <row r="517" spans="1:4" hidden="1" x14ac:dyDescent="0.35">
      <c r="A517" s="1">
        <v>46483</v>
      </c>
      <c r="B517" s="2">
        <v>46287</v>
      </c>
      <c r="C517" s="21" t="s">
        <v>22</v>
      </c>
      <c r="D517" s="21">
        <f>IFERROR(VLOOKUP(RIT_FUSIONS[[#This Row],[ID]],RIT_ACUM!A:A,1,0),"NOVO")</f>
        <v>46483</v>
      </c>
    </row>
    <row r="518" spans="1:4" hidden="1" x14ac:dyDescent="0.35">
      <c r="A518" s="1">
        <v>46482</v>
      </c>
      <c r="B518" s="2">
        <v>46287</v>
      </c>
      <c r="C518" s="21" t="s">
        <v>22</v>
      </c>
      <c r="D518" s="21">
        <f>IFERROR(VLOOKUP(RIT_FUSIONS[[#This Row],[ID]],RIT_ACUM!A:A,1,0),"NOVO")</f>
        <v>46482</v>
      </c>
    </row>
    <row r="519" spans="1:4" hidden="1" x14ac:dyDescent="0.35">
      <c r="A519" s="1">
        <v>46481</v>
      </c>
      <c r="B519" s="2">
        <v>46287</v>
      </c>
      <c r="C519" s="21" t="s">
        <v>9</v>
      </c>
      <c r="D519" s="21">
        <f>IFERROR(VLOOKUP(RIT_FUSIONS[[#This Row],[ID]],RIT_ACUM!A:A,1,0),"NOVO")</f>
        <v>46481</v>
      </c>
    </row>
    <row r="520" spans="1:4" hidden="1" x14ac:dyDescent="0.35">
      <c r="A520" s="1">
        <v>46480</v>
      </c>
      <c r="B520" s="2">
        <v>46287</v>
      </c>
      <c r="C520" s="21" t="s">
        <v>3</v>
      </c>
      <c r="D520" s="21">
        <f>IFERROR(VLOOKUP(RIT_FUSIONS[[#This Row],[ID]],RIT_ACUM!A:A,1,0),"NOVO")</f>
        <v>46480</v>
      </c>
    </row>
    <row r="521" spans="1:4" hidden="1" x14ac:dyDescent="0.35">
      <c r="A521" s="1">
        <v>46479</v>
      </c>
      <c r="B521" s="2">
        <v>46287</v>
      </c>
      <c r="C521" s="21" t="s">
        <v>22</v>
      </c>
      <c r="D521" s="21">
        <f>IFERROR(VLOOKUP(RIT_FUSIONS[[#This Row],[ID]],RIT_ACUM!A:A,1,0),"NOVO")</f>
        <v>46479</v>
      </c>
    </row>
    <row r="522" spans="1:4" hidden="1" x14ac:dyDescent="0.35">
      <c r="A522" s="1">
        <v>46478</v>
      </c>
      <c r="B522" s="2">
        <v>46287</v>
      </c>
      <c r="C522" s="21" t="s">
        <v>3</v>
      </c>
      <c r="D522" s="21">
        <f>IFERROR(VLOOKUP(RIT_FUSIONS[[#This Row],[ID]],RIT_ACUM!A:A,1,0),"NOVO")</f>
        <v>46478</v>
      </c>
    </row>
    <row r="523" spans="1:4" hidden="1" x14ac:dyDescent="0.35">
      <c r="A523" s="1">
        <v>46477</v>
      </c>
      <c r="B523" s="2">
        <v>46287</v>
      </c>
      <c r="C523" s="21" t="s">
        <v>9</v>
      </c>
      <c r="D523" s="21">
        <f>IFERROR(VLOOKUP(RIT_FUSIONS[[#This Row],[ID]],RIT_ACUM!A:A,1,0),"NOVO")</f>
        <v>46477</v>
      </c>
    </row>
    <row r="524" spans="1:4" hidden="1" x14ac:dyDescent="0.35">
      <c r="A524" s="1">
        <v>46476</v>
      </c>
      <c r="B524" s="2">
        <v>46287</v>
      </c>
      <c r="C524" s="21" t="s">
        <v>22</v>
      </c>
      <c r="D524" s="21">
        <f>IFERROR(VLOOKUP(RIT_FUSIONS[[#This Row],[ID]],RIT_ACUM!A:A,1,0),"NOVO")</f>
        <v>46476</v>
      </c>
    </row>
    <row r="525" spans="1:4" hidden="1" x14ac:dyDescent="0.35">
      <c r="A525" s="1">
        <v>46475</v>
      </c>
      <c r="B525" s="2">
        <v>46287</v>
      </c>
      <c r="C525" s="21" t="s">
        <v>22</v>
      </c>
      <c r="D525" s="21">
        <f>IFERROR(VLOOKUP(RIT_FUSIONS[[#This Row],[ID]],RIT_ACUM!A:A,1,0),"NOVO")</f>
        <v>46475</v>
      </c>
    </row>
    <row r="526" spans="1:4" hidden="1" x14ac:dyDescent="0.35">
      <c r="A526" s="1">
        <v>46474</v>
      </c>
      <c r="B526" s="2">
        <v>46287</v>
      </c>
      <c r="C526" s="21" t="s">
        <v>22</v>
      </c>
      <c r="D526" s="21">
        <f>IFERROR(VLOOKUP(RIT_FUSIONS[[#This Row],[ID]],RIT_ACUM!A:A,1,0),"NOVO")</f>
        <v>46474</v>
      </c>
    </row>
    <row r="527" spans="1:4" hidden="1" x14ac:dyDescent="0.35">
      <c r="A527" s="1">
        <v>46473</v>
      </c>
      <c r="B527" s="2">
        <v>46287</v>
      </c>
      <c r="C527" s="21" t="s">
        <v>22</v>
      </c>
      <c r="D527" s="21">
        <f>IFERROR(VLOOKUP(RIT_FUSIONS[[#This Row],[ID]],RIT_ACUM!A:A,1,0),"NOVO")</f>
        <v>46473</v>
      </c>
    </row>
    <row r="528" spans="1:4" hidden="1" x14ac:dyDescent="0.35">
      <c r="A528" s="1">
        <v>46472</v>
      </c>
      <c r="B528" s="2">
        <v>46287</v>
      </c>
      <c r="C528" s="21" t="s">
        <v>22</v>
      </c>
      <c r="D528" s="21">
        <f>IFERROR(VLOOKUP(RIT_FUSIONS[[#This Row],[ID]],RIT_ACUM!A:A,1,0),"NOVO")</f>
        <v>46472</v>
      </c>
    </row>
    <row r="529" spans="1:4" hidden="1" x14ac:dyDescent="0.35">
      <c r="A529" s="1">
        <v>46471</v>
      </c>
      <c r="B529" s="2">
        <v>46287</v>
      </c>
      <c r="C529" s="21" t="s">
        <v>22</v>
      </c>
      <c r="D529" s="21">
        <f>IFERROR(VLOOKUP(RIT_FUSIONS[[#This Row],[ID]],RIT_ACUM!A:A,1,0),"NOVO")</f>
        <v>46471</v>
      </c>
    </row>
    <row r="530" spans="1:4" hidden="1" x14ac:dyDescent="0.35">
      <c r="A530" s="1">
        <v>46470</v>
      </c>
      <c r="B530" s="2">
        <v>46287</v>
      </c>
      <c r="C530" s="21" t="s">
        <v>22</v>
      </c>
      <c r="D530" s="21">
        <f>IFERROR(VLOOKUP(RIT_FUSIONS[[#This Row],[ID]],RIT_ACUM!A:A,1,0),"NOVO")</f>
        <v>46470</v>
      </c>
    </row>
    <row r="531" spans="1:4" hidden="1" x14ac:dyDescent="0.35">
      <c r="A531" s="1">
        <v>46469</v>
      </c>
      <c r="B531" s="2">
        <v>46287</v>
      </c>
      <c r="C531" s="21" t="s">
        <v>22</v>
      </c>
      <c r="D531" s="21">
        <f>IFERROR(VLOOKUP(RIT_FUSIONS[[#This Row],[ID]],RIT_ACUM!A:A,1,0),"NOVO")</f>
        <v>46469</v>
      </c>
    </row>
    <row r="532" spans="1:4" hidden="1" x14ac:dyDescent="0.35">
      <c r="A532" s="1">
        <v>46468</v>
      </c>
      <c r="B532" s="2">
        <v>46287</v>
      </c>
      <c r="C532" s="21" t="s">
        <v>22</v>
      </c>
      <c r="D532" s="21">
        <f>IFERROR(VLOOKUP(RIT_FUSIONS[[#This Row],[ID]],RIT_ACUM!A:A,1,0),"NOVO")</f>
        <v>46468</v>
      </c>
    </row>
    <row r="533" spans="1:4" hidden="1" x14ac:dyDescent="0.35">
      <c r="A533" s="1">
        <v>46467</v>
      </c>
      <c r="B533" s="2">
        <v>46287</v>
      </c>
      <c r="C533" s="21" t="s">
        <v>22</v>
      </c>
      <c r="D533" s="21">
        <f>IFERROR(VLOOKUP(RIT_FUSIONS[[#This Row],[ID]],RIT_ACUM!A:A,1,0),"NOVO")</f>
        <v>46467</v>
      </c>
    </row>
    <row r="534" spans="1:4" hidden="1" x14ac:dyDescent="0.35">
      <c r="A534" s="1">
        <v>46466</v>
      </c>
      <c r="B534" s="2">
        <v>46287</v>
      </c>
      <c r="C534" s="21" t="s">
        <v>22</v>
      </c>
      <c r="D534" s="21">
        <f>IFERROR(VLOOKUP(RIT_FUSIONS[[#This Row],[ID]],RIT_ACUM!A:A,1,0),"NOVO")</f>
        <v>46466</v>
      </c>
    </row>
    <row r="535" spans="1:4" hidden="1" x14ac:dyDescent="0.35">
      <c r="A535" s="1">
        <v>46464</v>
      </c>
      <c r="B535" s="2">
        <v>46287</v>
      </c>
      <c r="C535" s="21" t="s">
        <v>22</v>
      </c>
      <c r="D535" s="21">
        <f>IFERROR(VLOOKUP(RIT_FUSIONS[[#This Row],[ID]],RIT_ACUM!A:A,1,0),"NOVO")</f>
        <v>46464</v>
      </c>
    </row>
    <row r="536" spans="1:4" hidden="1" x14ac:dyDescent="0.35">
      <c r="A536" s="1">
        <v>46463</v>
      </c>
      <c r="B536" s="2">
        <v>46287</v>
      </c>
      <c r="C536" s="21" t="s">
        <v>22</v>
      </c>
      <c r="D536" s="21">
        <f>IFERROR(VLOOKUP(RIT_FUSIONS[[#This Row],[ID]],RIT_ACUM!A:A,1,0),"NOVO")</f>
        <v>46463</v>
      </c>
    </row>
    <row r="537" spans="1:4" hidden="1" x14ac:dyDescent="0.35">
      <c r="A537" s="1">
        <v>46462</v>
      </c>
      <c r="B537" s="2">
        <v>46287</v>
      </c>
      <c r="C537" s="21" t="s">
        <v>22</v>
      </c>
      <c r="D537" s="21">
        <f>IFERROR(VLOOKUP(RIT_FUSIONS[[#This Row],[ID]],RIT_ACUM!A:A,1,0),"NOVO")</f>
        <v>46462</v>
      </c>
    </row>
    <row r="538" spans="1:4" hidden="1" x14ac:dyDescent="0.35">
      <c r="A538" s="1">
        <v>46461</v>
      </c>
      <c r="B538" s="2">
        <v>46287</v>
      </c>
      <c r="C538" s="21" t="s">
        <v>22</v>
      </c>
      <c r="D538" s="21">
        <f>IFERROR(VLOOKUP(RIT_FUSIONS[[#This Row],[ID]],RIT_ACUM!A:A,1,0),"NOVO")</f>
        <v>46461</v>
      </c>
    </row>
    <row r="539" spans="1:4" hidden="1" x14ac:dyDescent="0.35">
      <c r="A539" s="1">
        <v>46460</v>
      </c>
      <c r="B539" s="2">
        <v>46287</v>
      </c>
      <c r="C539" s="21" t="s">
        <v>22</v>
      </c>
      <c r="D539" s="21">
        <f>IFERROR(VLOOKUP(RIT_FUSIONS[[#This Row],[ID]],RIT_ACUM!A:A,1,0),"NOVO")</f>
        <v>46460</v>
      </c>
    </row>
    <row r="540" spans="1:4" hidden="1" x14ac:dyDescent="0.35">
      <c r="A540" s="1">
        <v>46459</v>
      </c>
      <c r="B540" s="2">
        <v>46287</v>
      </c>
      <c r="C540" s="21" t="s">
        <v>22</v>
      </c>
      <c r="D540" s="21">
        <f>IFERROR(VLOOKUP(RIT_FUSIONS[[#This Row],[ID]],RIT_ACUM!A:A,1,0),"NOVO")</f>
        <v>46459</v>
      </c>
    </row>
    <row r="541" spans="1:4" hidden="1" x14ac:dyDescent="0.35">
      <c r="A541" s="1">
        <v>46458</v>
      </c>
      <c r="B541" s="2">
        <v>46287</v>
      </c>
      <c r="C541" s="21" t="s">
        <v>22</v>
      </c>
      <c r="D541" s="21">
        <f>IFERROR(VLOOKUP(RIT_FUSIONS[[#This Row],[ID]],RIT_ACUM!A:A,1,0),"NOVO")</f>
        <v>46458</v>
      </c>
    </row>
    <row r="542" spans="1:4" hidden="1" x14ac:dyDescent="0.35">
      <c r="A542" s="1">
        <v>46457</v>
      </c>
      <c r="B542" s="2">
        <v>46287</v>
      </c>
      <c r="C542" s="21" t="s">
        <v>22</v>
      </c>
      <c r="D542" s="21">
        <f>IFERROR(VLOOKUP(RIT_FUSIONS[[#This Row],[ID]],RIT_ACUM!A:A,1,0),"NOVO")</f>
        <v>46457</v>
      </c>
    </row>
    <row r="543" spans="1:4" hidden="1" x14ac:dyDescent="0.35">
      <c r="A543" s="1">
        <v>46456</v>
      </c>
      <c r="B543" s="2">
        <v>46287</v>
      </c>
      <c r="C543" s="21" t="s">
        <v>22</v>
      </c>
      <c r="D543" s="21">
        <f>IFERROR(VLOOKUP(RIT_FUSIONS[[#This Row],[ID]],RIT_ACUM!A:A,1,0),"NOVO")</f>
        <v>46456</v>
      </c>
    </row>
    <row r="544" spans="1:4" hidden="1" x14ac:dyDescent="0.35">
      <c r="A544" s="1">
        <v>46452</v>
      </c>
      <c r="B544" s="2">
        <v>46287</v>
      </c>
      <c r="C544" s="21" t="s">
        <v>7</v>
      </c>
      <c r="D544" s="21">
        <f>IFERROR(VLOOKUP(RIT_FUSIONS[[#This Row],[ID]],RIT_ACUM!A:A,1,0),"NOVO")</f>
        <v>46452</v>
      </c>
    </row>
    <row r="545" spans="1:4" hidden="1" x14ac:dyDescent="0.35">
      <c r="A545" s="1">
        <v>46446</v>
      </c>
      <c r="B545" s="2">
        <v>46287</v>
      </c>
      <c r="C545" s="21" t="s">
        <v>10</v>
      </c>
      <c r="D545" s="21">
        <f>IFERROR(VLOOKUP(RIT_FUSIONS[[#This Row],[ID]],RIT_ACUM!A:A,1,0),"NOVO")</f>
        <v>46446</v>
      </c>
    </row>
    <row r="546" spans="1:4" hidden="1" x14ac:dyDescent="0.35">
      <c r="A546" s="1">
        <v>46445</v>
      </c>
      <c r="B546" s="2">
        <v>46287</v>
      </c>
      <c r="C546" s="21" t="s">
        <v>10</v>
      </c>
      <c r="D546" s="21">
        <f>IFERROR(VLOOKUP(RIT_FUSIONS[[#This Row],[ID]],RIT_ACUM!A:A,1,0),"NOVO")</f>
        <v>46445</v>
      </c>
    </row>
    <row r="547" spans="1:4" hidden="1" x14ac:dyDescent="0.35">
      <c r="A547" s="1">
        <v>46443</v>
      </c>
      <c r="B547" s="2">
        <v>46287</v>
      </c>
      <c r="C547" s="21" t="s">
        <v>3</v>
      </c>
      <c r="D547" s="21">
        <f>IFERROR(VLOOKUP(RIT_FUSIONS[[#This Row],[ID]],RIT_ACUM!A:A,1,0),"NOVO")</f>
        <v>46443</v>
      </c>
    </row>
    <row r="548" spans="1:4" hidden="1" x14ac:dyDescent="0.35">
      <c r="A548" s="1">
        <v>46438</v>
      </c>
      <c r="B548" s="2">
        <v>46287</v>
      </c>
      <c r="C548" s="21" t="s">
        <v>6</v>
      </c>
      <c r="D548" s="21">
        <f>IFERROR(VLOOKUP(RIT_FUSIONS[[#This Row],[ID]],RIT_ACUM!A:A,1,0),"NOVO")</f>
        <v>46438</v>
      </c>
    </row>
    <row r="549" spans="1:4" hidden="1" x14ac:dyDescent="0.35">
      <c r="A549" s="1">
        <v>46437</v>
      </c>
      <c r="B549" s="2">
        <v>46287</v>
      </c>
      <c r="C549" s="21" t="s">
        <v>6</v>
      </c>
      <c r="D549" s="21">
        <f>IFERROR(VLOOKUP(RIT_FUSIONS[[#This Row],[ID]],RIT_ACUM!A:A,1,0),"NOVO")</f>
        <v>46437</v>
      </c>
    </row>
    <row r="550" spans="1:4" hidden="1" x14ac:dyDescent="0.35">
      <c r="A550" s="1">
        <v>46435</v>
      </c>
      <c r="B550" s="2">
        <v>46287</v>
      </c>
      <c r="C550" s="21" t="s">
        <v>3</v>
      </c>
      <c r="D550" s="21">
        <f>IFERROR(VLOOKUP(RIT_FUSIONS[[#This Row],[ID]],RIT_ACUM!A:A,1,0),"NOVO")</f>
        <v>46435</v>
      </c>
    </row>
    <row r="551" spans="1:4" hidden="1" x14ac:dyDescent="0.35">
      <c r="A551" s="1">
        <v>46433</v>
      </c>
      <c r="B551" s="2">
        <v>46287</v>
      </c>
      <c r="C551" s="21" t="s">
        <v>8</v>
      </c>
      <c r="D551" s="21">
        <f>IFERROR(VLOOKUP(RIT_FUSIONS[[#This Row],[ID]],RIT_ACUM!A:A,1,0),"NOVO")</f>
        <v>46433</v>
      </c>
    </row>
    <row r="552" spans="1:4" hidden="1" x14ac:dyDescent="0.35">
      <c r="A552" s="1">
        <v>46432</v>
      </c>
      <c r="B552" s="2">
        <v>46287</v>
      </c>
      <c r="C552" s="21" t="s">
        <v>19</v>
      </c>
      <c r="D552" s="21">
        <f>IFERROR(VLOOKUP(RIT_FUSIONS[[#This Row],[ID]],RIT_ACUM!A:A,1,0),"NOVO")</f>
        <v>46432</v>
      </c>
    </row>
    <row r="553" spans="1:4" hidden="1" x14ac:dyDescent="0.35">
      <c r="A553" s="1">
        <v>46431</v>
      </c>
      <c r="B553" s="2">
        <v>46287</v>
      </c>
      <c r="C553" s="21" t="s">
        <v>8</v>
      </c>
      <c r="D553" s="21">
        <f>IFERROR(VLOOKUP(RIT_FUSIONS[[#This Row],[ID]],RIT_ACUM!A:A,1,0),"NOVO")</f>
        <v>46431</v>
      </c>
    </row>
    <row r="554" spans="1:4" hidden="1" x14ac:dyDescent="0.35">
      <c r="A554" s="1">
        <v>46429</v>
      </c>
      <c r="B554" s="2">
        <v>46287</v>
      </c>
      <c r="C554" s="21" t="s">
        <v>3</v>
      </c>
      <c r="D554" s="21">
        <f>IFERROR(VLOOKUP(RIT_FUSIONS[[#This Row],[ID]],RIT_ACUM!A:A,1,0),"NOVO")</f>
        <v>46429</v>
      </c>
    </row>
    <row r="555" spans="1:4" hidden="1" x14ac:dyDescent="0.35">
      <c r="A555" s="1">
        <v>46428</v>
      </c>
      <c r="B555" s="2">
        <v>46287</v>
      </c>
      <c r="C555" s="21" t="s">
        <v>9</v>
      </c>
      <c r="D555" s="21">
        <f>IFERROR(VLOOKUP(RIT_FUSIONS[[#This Row],[ID]],RIT_ACUM!A:A,1,0),"NOVO")</f>
        <v>46428</v>
      </c>
    </row>
    <row r="556" spans="1:4" hidden="1" x14ac:dyDescent="0.35">
      <c r="A556" s="1">
        <v>46427</v>
      </c>
      <c r="B556" s="2">
        <v>46287</v>
      </c>
      <c r="C556" s="21" t="s">
        <v>4</v>
      </c>
      <c r="D556" s="21">
        <f>IFERROR(VLOOKUP(RIT_FUSIONS[[#This Row],[ID]],RIT_ACUM!A:A,1,0),"NOVO")</f>
        <v>46427</v>
      </c>
    </row>
    <row r="557" spans="1:4" hidden="1" x14ac:dyDescent="0.35">
      <c r="A557" s="1">
        <v>46426</v>
      </c>
      <c r="B557" s="2">
        <v>46287</v>
      </c>
      <c r="C557" s="21" t="s">
        <v>19</v>
      </c>
      <c r="D557" s="21">
        <f>IFERROR(VLOOKUP(RIT_FUSIONS[[#This Row],[ID]],RIT_ACUM!A:A,1,0),"NOVO")</f>
        <v>46426</v>
      </c>
    </row>
    <row r="558" spans="1:4" hidden="1" x14ac:dyDescent="0.35">
      <c r="A558" s="1">
        <v>46425</v>
      </c>
      <c r="B558" s="2">
        <v>46287</v>
      </c>
      <c r="C558" s="21" t="s">
        <v>19</v>
      </c>
      <c r="D558" s="21">
        <f>IFERROR(VLOOKUP(RIT_FUSIONS[[#This Row],[ID]],RIT_ACUM!A:A,1,0),"NOVO")</f>
        <v>46425</v>
      </c>
    </row>
    <row r="559" spans="1:4" hidden="1" x14ac:dyDescent="0.35">
      <c r="A559" s="1">
        <v>46424</v>
      </c>
      <c r="B559" s="2">
        <v>46287</v>
      </c>
      <c r="C559" s="21" t="s">
        <v>9</v>
      </c>
      <c r="D559" s="21">
        <f>IFERROR(VLOOKUP(RIT_FUSIONS[[#This Row],[ID]],RIT_ACUM!A:A,1,0),"NOVO")</f>
        <v>46424</v>
      </c>
    </row>
    <row r="560" spans="1:4" hidden="1" x14ac:dyDescent="0.35">
      <c r="A560" s="1">
        <v>46423</v>
      </c>
      <c r="B560" s="2">
        <v>46287</v>
      </c>
      <c r="C560" s="21" t="s">
        <v>4</v>
      </c>
      <c r="D560" s="21">
        <f>IFERROR(VLOOKUP(RIT_FUSIONS[[#This Row],[ID]],RIT_ACUM!A:A,1,0),"NOVO")</f>
        <v>46423</v>
      </c>
    </row>
    <row r="561" spans="1:4" hidden="1" x14ac:dyDescent="0.35">
      <c r="A561" s="1">
        <v>46421</v>
      </c>
      <c r="B561" s="2">
        <v>46287</v>
      </c>
      <c r="C561" s="21" t="s">
        <v>19</v>
      </c>
      <c r="D561" s="21">
        <f>IFERROR(VLOOKUP(RIT_FUSIONS[[#This Row],[ID]],RIT_ACUM!A:A,1,0),"NOVO")</f>
        <v>46421</v>
      </c>
    </row>
    <row r="562" spans="1:4" hidden="1" x14ac:dyDescent="0.35">
      <c r="A562" s="1">
        <v>46420</v>
      </c>
      <c r="B562" s="2">
        <v>46287</v>
      </c>
      <c r="C562" s="21" t="s">
        <v>3</v>
      </c>
      <c r="D562" s="21">
        <f>IFERROR(VLOOKUP(RIT_FUSIONS[[#This Row],[ID]],RIT_ACUM!A:A,1,0),"NOVO")</f>
        <v>46420</v>
      </c>
    </row>
    <row r="563" spans="1:4" hidden="1" x14ac:dyDescent="0.35">
      <c r="A563" s="1">
        <v>46419</v>
      </c>
      <c r="B563" s="2">
        <v>46286</v>
      </c>
      <c r="C563" s="21" t="s">
        <v>10</v>
      </c>
      <c r="D563" s="21">
        <f>IFERROR(VLOOKUP(RIT_FUSIONS[[#This Row],[ID]],RIT_ACUM!A:A,1,0),"NOVO")</f>
        <v>46419</v>
      </c>
    </row>
    <row r="564" spans="1:4" hidden="1" x14ac:dyDescent="0.35">
      <c r="A564" s="1">
        <v>46418</v>
      </c>
      <c r="B564" s="2">
        <v>46286</v>
      </c>
      <c r="C564" s="21" t="s">
        <v>10</v>
      </c>
      <c r="D564" s="21">
        <f>IFERROR(VLOOKUP(RIT_FUSIONS[[#This Row],[ID]],RIT_ACUM!A:A,1,0),"NOVO")</f>
        <v>46418</v>
      </c>
    </row>
    <row r="565" spans="1:4" hidden="1" x14ac:dyDescent="0.35">
      <c r="A565" s="1">
        <v>46417</v>
      </c>
      <c r="B565" s="2">
        <v>46286</v>
      </c>
      <c r="C565" s="21" t="s">
        <v>11</v>
      </c>
      <c r="D565" s="21">
        <f>IFERROR(VLOOKUP(RIT_FUSIONS[[#This Row],[ID]],RIT_ACUM!A:A,1,0),"NOVO")</f>
        <v>46417</v>
      </c>
    </row>
    <row r="566" spans="1:4" hidden="1" x14ac:dyDescent="0.35">
      <c r="A566" s="1">
        <v>46416</v>
      </c>
      <c r="B566" s="2">
        <v>46286</v>
      </c>
      <c r="C566" s="21" t="s">
        <v>11</v>
      </c>
      <c r="D566" s="21">
        <f>IFERROR(VLOOKUP(RIT_FUSIONS[[#This Row],[ID]],RIT_ACUM!A:A,1,0),"NOVO")</f>
        <v>46416</v>
      </c>
    </row>
    <row r="567" spans="1:4" hidden="1" x14ac:dyDescent="0.35">
      <c r="A567" s="1">
        <v>46408</v>
      </c>
      <c r="B567" s="2">
        <v>46286</v>
      </c>
      <c r="C567" s="21" t="s">
        <v>23</v>
      </c>
      <c r="D567" s="21">
        <f>IFERROR(VLOOKUP(RIT_FUSIONS[[#This Row],[ID]],RIT_ACUM!A:A,1,0),"NOVO")</f>
        <v>46408</v>
      </c>
    </row>
    <row r="568" spans="1:4" hidden="1" x14ac:dyDescent="0.35">
      <c r="A568" s="1">
        <v>46407</v>
      </c>
      <c r="B568" s="2">
        <v>46286</v>
      </c>
      <c r="C568" s="21" t="s">
        <v>23</v>
      </c>
      <c r="D568" s="21">
        <f>IFERROR(VLOOKUP(RIT_FUSIONS[[#This Row],[ID]],RIT_ACUM!A:A,1,0),"NOVO")</f>
        <v>46407</v>
      </c>
    </row>
    <row r="569" spans="1:4" hidden="1" x14ac:dyDescent="0.35">
      <c r="A569" s="1">
        <v>46406</v>
      </c>
      <c r="B569" s="2">
        <v>46286</v>
      </c>
      <c r="C569" s="21" t="s">
        <v>6</v>
      </c>
      <c r="D569" s="21">
        <f>IFERROR(VLOOKUP(RIT_FUSIONS[[#This Row],[ID]],RIT_ACUM!A:A,1,0),"NOVO")</f>
        <v>46406</v>
      </c>
    </row>
    <row r="570" spans="1:4" hidden="1" x14ac:dyDescent="0.35">
      <c r="A570" s="1">
        <v>46405</v>
      </c>
      <c r="B570" s="2">
        <v>46286</v>
      </c>
      <c r="C570" s="21" t="s">
        <v>6</v>
      </c>
      <c r="D570" s="21">
        <f>IFERROR(VLOOKUP(RIT_FUSIONS[[#This Row],[ID]],RIT_ACUM!A:A,1,0),"NOVO")</f>
        <v>46405</v>
      </c>
    </row>
    <row r="571" spans="1:4" hidden="1" x14ac:dyDescent="0.35">
      <c r="A571" s="1">
        <v>46404</v>
      </c>
      <c r="B571" s="2">
        <v>46286</v>
      </c>
      <c r="C571" s="21" t="s">
        <v>9</v>
      </c>
      <c r="D571" s="21">
        <f>IFERROR(VLOOKUP(RIT_FUSIONS[[#This Row],[ID]],RIT_ACUM!A:A,1,0),"NOVO")</f>
        <v>46404</v>
      </c>
    </row>
    <row r="572" spans="1:4" hidden="1" x14ac:dyDescent="0.35">
      <c r="A572" s="1">
        <v>46403</v>
      </c>
      <c r="B572" s="2">
        <v>46286</v>
      </c>
      <c r="C572" s="21" t="s">
        <v>9</v>
      </c>
      <c r="D572" s="21">
        <f>IFERROR(VLOOKUP(RIT_FUSIONS[[#This Row],[ID]],RIT_ACUM!A:A,1,0),"NOVO")</f>
        <v>46403</v>
      </c>
    </row>
    <row r="573" spans="1:4" hidden="1" x14ac:dyDescent="0.35">
      <c r="A573" s="1">
        <v>46402</v>
      </c>
      <c r="B573" s="2">
        <v>46286</v>
      </c>
      <c r="C573" s="21" t="s">
        <v>9</v>
      </c>
      <c r="D573" s="21">
        <f>IFERROR(VLOOKUP(RIT_FUSIONS[[#This Row],[ID]],RIT_ACUM!A:A,1,0),"NOVO")</f>
        <v>46402</v>
      </c>
    </row>
    <row r="574" spans="1:4" hidden="1" x14ac:dyDescent="0.35">
      <c r="A574" s="1">
        <v>46401</v>
      </c>
      <c r="B574" s="2">
        <v>46286</v>
      </c>
      <c r="C574" s="21" t="s">
        <v>3</v>
      </c>
      <c r="D574" s="21">
        <f>IFERROR(VLOOKUP(RIT_FUSIONS[[#This Row],[ID]],RIT_ACUM!A:A,1,0),"NOVO")</f>
        <v>46401</v>
      </c>
    </row>
    <row r="575" spans="1:4" hidden="1" x14ac:dyDescent="0.35">
      <c r="A575" s="1">
        <v>46399</v>
      </c>
      <c r="B575" s="2">
        <v>46286</v>
      </c>
      <c r="C575" s="21" t="s">
        <v>3</v>
      </c>
      <c r="D575" s="21">
        <f>IFERROR(VLOOKUP(RIT_FUSIONS[[#This Row],[ID]],RIT_ACUM!A:A,1,0),"NOVO")</f>
        <v>46399</v>
      </c>
    </row>
    <row r="576" spans="1:4" hidden="1" x14ac:dyDescent="0.35">
      <c r="A576" s="1">
        <v>46398</v>
      </c>
      <c r="B576" s="2">
        <v>46286</v>
      </c>
      <c r="C576" s="21" t="s">
        <v>3</v>
      </c>
      <c r="D576" s="21">
        <f>IFERROR(VLOOKUP(RIT_FUSIONS[[#This Row],[ID]],RIT_ACUM!A:A,1,0),"NOVO")</f>
        <v>46398</v>
      </c>
    </row>
    <row r="577" spans="1:4" hidden="1" x14ac:dyDescent="0.35">
      <c r="A577" s="1">
        <v>46395</v>
      </c>
      <c r="B577" s="2">
        <v>46286</v>
      </c>
      <c r="C577" s="21" t="s">
        <v>7</v>
      </c>
      <c r="D577" s="21">
        <f>IFERROR(VLOOKUP(RIT_FUSIONS[[#This Row],[ID]],RIT_ACUM!A:A,1,0),"NOVO")</f>
        <v>46395</v>
      </c>
    </row>
    <row r="578" spans="1:4" hidden="1" x14ac:dyDescent="0.35">
      <c r="A578" s="1">
        <v>46393</v>
      </c>
      <c r="B578" s="2">
        <v>46286</v>
      </c>
      <c r="C578" s="21" t="s">
        <v>21</v>
      </c>
      <c r="D578" s="21">
        <f>IFERROR(VLOOKUP(RIT_FUSIONS[[#This Row],[ID]],RIT_ACUM!A:A,1,0),"NOVO")</f>
        <v>46393</v>
      </c>
    </row>
    <row r="579" spans="1:4" hidden="1" x14ac:dyDescent="0.35">
      <c r="A579" s="1">
        <v>46391</v>
      </c>
      <c r="B579" s="2">
        <v>46286</v>
      </c>
      <c r="C579" s="21" t="s">
        <v>21</v>
      </c>
      <c r="D579" s="21">
        <f>IFERROR(VLOOKUP(RIT_FUSIONS[[#This Row],[ID]],RIT_ACUM!A:A,1,0),"NOVO")</f>
        <v>46391</v>
      </c>
    </row>
    <row r="580" spans="1:4" hidden="1" x14ac:dyDescent="0.35">
      <c r="A580" s="1">
        <v>46390</v>
      </c>
      <c r="B580" s="2">
        <v>46286</v>
      </c>
      <c r="C580" s="21" t="s">
        <v>20</v>
      </c>
      <c r="D580" s="21">
        <f>IFERROR(VLOOKUP(RIT_FUSIONS[[#This Row],[ID]],RIT_ACUM!A:A,1,0),"NOVO")</f>
        <v>46390</v>
      </c>
    </row>
    <row r="581" spans="1:4" hidden="1" x14ac:dyDescent="0.35">
      <c r="A581" s="1">
        <v>46389</v>
      </c>
      <c r="B581" s="2">
        <v>46286</v>
      </c>
      <c r="C581" s="21" t="s">
        <v>20</v>
      </c>
      <c r="D581" s="21">
        <f>IFERROR(VLOOKUP(RIT_FUSIONS[[#This Row],[ID]],RIT_ACUM!A:A,1,0),"NOVO")</f>
        <v>46389</v>
      </c>
    </row>
    <row r="582" spans="1:4" hidden="1" x14ac:dyDescent="0.35">
      <c r="A582" s="1">
        <v>46388</v>
      </c>
      <c r="B582" s="2">
        <v>46286</v>
      </c>
      <c r="C582" s="21" t="s">
        <v>8</v>
      </c>
      <c r="D582" s="21">
        <f>IFERROR(VLOOKUP(RIT_FUSIONS[[#This Row],[ID]],RIT_ACUM!A:A,1,0),"NOVO")</f>
        <v>46388</v>
      </c>
    </row>
    <row r="583" spans="1:4" hidden="1" x14ac:dyDescent="0.35">
      <c r="A583" s="1">
        <v>46387</v>
      </c>
      <c r="B583" s="2">
        <v>46286</v>
      </c>
      <c r="C583" s="21" t="s">
        <v>8</v>
      </c>
      <c r="D583" s="21">
        <f>IFERROR(VLOOKUP(RIT_FUSIONS[[#This Row],[ID]],RIT_ACUM!A:A,1,0),"NOVO")</f>
        <v>46387</v>
      </c>
    </row>
    <row r="584" spans="1:4" hidden="1" x14ac:dyDescent="0.35">
      <c r="A584" s="1">
        <v>46386</v>
      </c>
      <c r="B584" s="2">
        <v>46285</v>
      </c>
      <c r="C584" s="21" t="s">
        <v>17</v>
      </c>
      <c r="D584" s="21">
        <f>IFERROR(VLOOKUP(RIT_FUSIONS[[#This Row],[ID]],RIT_ACUM!A:A,1,0),"NOVO")</f>
        <v>46386</v>
      </c>
    </row>
    <row r="585" spans="1:4" hidden="1" x14ac:dyDescent="0.35">
      <c r="A585" s="1">
        <v>46385</v>
      </c>
      <c r="B585" s="2">
        <v>46285</v>
      </c>
      <c r="C585" s="21" t="s">
        <v>17</v>
      </c>
      <c r="D585" s="21">
        <f>IFERROR(VLOOKUP(RIT_FUSIONS[[#This Row],[ID]],RIT_ACUM!A:A,1,0),"NOVO")</f>
        <v>46385</v>
      </c>
    </row>
    <row r="586" spans="1:4" hidden="1" x14ac:dyDescent="0.35">
      <c r="A586" s="1">
        <v>46384</v>
      </c>
      <c r="B586" s="2">
        <v>46284</v>
      </c>
      <c r="C586" s="21" t="s">
        <v>23</v>
      </c>
      <c r="D586" s="21">
        <f>IFERROR(VLOOKUP(RIT_FUSIONS[[#This Row],[ID]],RIT_ACUM!A:A,1,0),"NOVO")</f>
        <v>46384</v>
      </c>
    </row>
    <row r="587" spans="1:4" hidden="1" x14ac:dyDescent="0.35">
      <c r="A587" s="1">
        <v>46382</v>
      </c>
      <c r="B587" s="2">
        <v>46284</v>
      </c>
      <c r="C587" s="21" t="s">
        <v>10</v>
      </c>
      <c r="D587" s="21">
        <f>IFERROR(VLOOKUP(RIT_FUSIONS[[#This Row],[ID]],RIT_ACUM!A:A,1,0),"NOVO")</f>
        <v>46382</v>
      </c>
    </row>
    <row r="588" spans="1:4" hidden="1" x14ac:dyDescent="0.35">
      <c r="A588" s="1">
        <v>46381</v>
      </c>
      <c r="B588" s="2">
        <v>46284</v>
      </c>
      <c r="C588" s="21" t="s">
        <v>10</v>
      </c>
      <c r="D588" s="21">
        <f>IFERROR(VLOOKUP(RIT_FUSIONS[[#This Row],[ID]],RIT_ACUM!A:A,1,0),"NOVO")</f>
        <v>46381</v>
      </c>
    </row>
    <row r="589" spans="1:4" hidden="1" x14ac:dyDescent="0.35">
      <c r="A589" s="1">
        <v>46371</v>
      </c>
      <c r="B589" s="2">
        <v>46284</v>
      </c>
      <c r="C589" s="21" t="s">
        <v>8</v>
      </c>
      <c r="D589" s="21">
        <f>IFERROR(VLOOKUP(RIT_FUSIONS[[#This Row],[ID]],RIT_ACUM!A:A,1,0),"NOVO")</f>
        <v>46371</v>
      </c>
    </row>
    <row r="590" spans="1:4" hidden="1" x14ac:dyDescent="0.35">
      <c r="A590" s="1">
        <v>46370</v>
      </c>
      <c r="B590" s="2">
        <v>46284</v>
      </c>
      <c r="C590" s="21" t="s">
        <v>8</v>
      </c>
      <c r="D590" s="21">
        <f>IFERROR(VLOOKUP(RIT_FUSIONS[[#This Row],[ID]],RIT_ACUM!A:A,1,0),"NOVO")</f>
        <v>46370</v>
      </c>
    </row>
    <row r="591" spans="1:4" hidden="1" x14ac:dyDescent="0.35">
      <c r="A591" s="1">
        <v>46369</v>
      </c>
      <c r="B591" s="2">
        <v>46283</v>
      </c>
      <c r="C591" s="21" t="s">
        <v>10</v>
      </c>
      <c r="D591" s="21">
        <f>IFERROR(VLOOKUP(RIT_FUSIONS[[#This Row],[ID]],RIT_ACUM!A:A,1,0),"NOVO")</f>
        <v>46369</v>
      </c>
    </row>
    <row r="592" spans="1:4" hidden="1" x14ac:dyDescent="0.35">
      <c r="A592" s="1">
        <v>46368</v>
      </c>
      <c r="B592" s="2">
        <v>46283</v>
      </c>
      <c r="C592" s="21" t="s">
        <v>10</v>
      </c>
      <c r="D592" s="21">
        <f>IFERROR(VLOOKUP(RIT_FUSIONS[[#This Row],[ID]],RIT_ACUM!A:A,1,0),"NOVO")</f>
        <v>46368</v>
      </c>
    </row>
    <row r="593" spans="1:4" hidden="1" x14ac:dyDescent="0.35">
      <c r="A593" s="1">
        <v>46367</v>
      </c>
      <c r="B593" s="2">
        <v>46283</v>
      </c>
      <c r="C593" s="21" t="s">
        <v>17</v>
      </c>
      <c r="D593" s="21">
        <f>IFERROR(VLOOKUP(RIT_FUSIONS[[#This Row],[ID]],RIT_ACUM!A:A,1,0),"NOVO")</f>
        <v>46367</v>
      </c>
    </row>
    <row r="594" spans="1:4" hidden="1" x14ac:dyDescent="0.35">
      <c r="A594" s="1">
        <v>46366</v>
      </c>
      <c r="B594" s="2">
        <v>46283</v>
      </c>
      <c r="C594" s="21" t="s">
        <v>17</v>
      </c>
      <c r="D594" s="21">
        <f>IFERROR(VLOOKUP(RIT_FUSIONS[[#This Row],[ID]],RIT_ACUM!A:A,1,0),"NOVO")</f>
        <v>46366</v>
      </c>
    </row>
    <row r="595" spans="1:4" hidden="1" x14ac:dyDescent="0.35">
      <c r="A595" s="1">
        <v>46365</v>
      </c>
      <c r="B595" s="2">
        <v>46283</v>
      </c>
      <c r="C595" s="21" t="s">
        <v>4</v>
      </c>
      <c r="D595" s="21">
        <f>IFERROR(VLOOKUP(RIT_FUSIONS[[#This Row],[ID]],RIT_ACUM!A:A,1,0),"NOVO")</f>
        <v>46365</v>
      </c>
    </row>
    <row r="596" spans="1:4" hidden="1" x14ac:dyDescent="0.35">
      <c r="A596" s="1">
        <v>46364</v>
      </c>
      <c r="B596" s="2">
        <v>46283</v>
      </c>
      <c r="C596" s="21" t="s">
        <v>4</v>
      </c>
      <c r="D596" s="21">
        <f>IFERROR(VLOOKUP(RIT_FUSIONS[[#This Row],[ID]],RIT_ACUM!A:A,1,0),"NOVO")</f>
        <v>46364</v>
      </c>
    </row>
    <row r="597" spans="1:4" hidden="1" x14ac:dyDescent="0.35">
      <c r="A597" s="1">
        <v>46360</v>
      </c>
      <c r="B597" s="2">
        <v>46283</v>
      </c>
      <c r="C597" s="21" t="s">
        <v>3</v>
      </c>
      <c r="D597" s="21">
        <f>IFERROR(VLOOKUP(RIT_FUSIONS[[#This Row],[ID]],RIT_ACUM!A:A,1,0),"NOVO")</f>
        <v>46360</v>
      </c>
    </row>
    <row r="598" spans="1:4" hidden="1" x14ac:dyDescent="0.35">
      <c r="A598" s="1">
        <v>46355</v>
      </c>
      <c r="B598" s="2">
        <v>46283</v>
      </c>
      <c r="C598" s="21" t="s">
        <v>3</v>
      </c>
      <c r="D598" s="21">
        <f>IFERROR(VLOOKUP(RIT_FUSIONS[[#This Row],[ID]],RIT_ACUM!A:A,1,0),"NOVO")</f>
        <v>46355</v>
      </c>
    </row>
    <row r="599" spans="1:4" hidden="1" x14ac:dyDescent="0.35">
      <c r="A599" s="1">
        <v>46354</v>
      </c>
      <c r="B599" s="2">
        <v>46283</v>
      </c>
      <c r="C599" s="21" t="s">
        <v>23</v>
      </c>
      <c r="D599" s="21">
        <f>IFERROR(VLOOKUP(RIT_FUSIONS[[#This Row],[ID]],RIT_ACUM!A:A,1,0),"NOVO")</f>
        <v>46354</v>
      </c>
    </row>
    <row r="600" spans="1:4" hidden="1" x14ac:dyDescent="0.35">
      <c r="A600" s="1">
        <v>46353</v>
      </c>
      <c r="B600" s="2">
        <v>46283</v>
      </c>
      <c r="C600" s="21" t="s">
        <v>23</v>
      </c>
      <c r="D600" s="21">
        <f>IFERROR(VLOOKUP(RIT_FUSIONS[[#This Row],[ID]],RIT_ACUM!A:A,1,0),"NOVO")</f>
        <v>46353</v>
      </c>
    </row>
    <row r="601" spans="1:4" hidden="1" x14ac:dyDescent="0.35">
      <c r="A601" s="1">
        <v>46352</v>
      </c>
      <c r="B601" s="2">
        <v>46283</v>
      </c>
      <c r="C601" s="21" t="s">
        <v>3</v>
      </c>
      <c r="D601" s="21">
        <f>IFERROR(VLOOKUP(RIT_FUSIONS[[#This Row],[ID]],RIT_ACUM!A:A,1,0),"NOVO")</f>
        <v>46352</v>
      </c>
    </row>
    <row r="602" spans="1:4" hidden="1" x14ac:dyDescent="0.35">
      <c r="A602" s="1">
        <v>46350</v>
      </c>
      <c r="B602" s="2">
        <v>46283</v>
      </c>
      <c r="C602" s="21" t="s">
        <v>7</v>
      </c>
      <c r="D602" s="21">
        <f>IFERROR(VLOOKUP(RIT_FUSIONS[[#This Row],[ID]],RIT_ACUM!A:A,1,0),"NOVO")</f>
        <v>46350</v>
      </c>
    </row>
    <row r="603" spans="1:4" hidden="1" x14ac:dyDescent="0.35">
      <c r="A603" s="1">
        <v>46349</v>
      </c>
      <c r="B603" s="2">
        <v>46283</v>
      </c>
      <c r="C603" s="21" t="s">
        <v>7</v>
      </c>
      <c r="D603" s="21">
        <f>IFERROR(VLOOKUP(RIT_FUSIONS[[#This Row],[ID]],RIT_ACUM!A:A,1,0),"NOVO")</f>
        <v>46349</v>
      </c>
    </row>
    <row r="604" spans="1:4" hidden="1" x14ac:dyDescent="0.35">
      <c r="A604" s="1">
        <v>46347</v>
      </c>
      <c r="B604" s="2">
        <v>46283</v>
      </c>
      <c r="C604" s="21" t="s">
        <v>19</v>
      </c>
      <c r="D604" s="21">
        <f>IFERROR(VLOOKUP(RIT_FUSIONS[[#This Row],[ID]],RIT_ACUM!A:A,1,0),"NOVO")</f>
        <v>46347</v>
      </c>
    </row>
    <row r="605" spans="1:4" hidden="1" x14ac:dyDescent="0.35">
      <c r="A605" s="1">
        <v>46346</v>
      </c>
      <c r="B605" s="2">
        <v>46283</v>
      </c>
      <c r="C605" s="21" t="s">
        <v>9</v>
      </c>
      <c r="D605" s="21">
        <f>IFERROR(VLOOKUP(RIT_FUSIONS[[#This Row],[ID]],RIT_ACUM!A:A,1,0),"NOVO")</f>
        <v>46346</v>
      </c>
    </row>
    <row r="606" spans="1:4" hidden="1" x14ac:dyDescent="0.35">
      <c r="A606" s="1">
        <v>46344</v>
      </c>
      <c r="B606" s="2">
        <v>46283</v>
      </c>
      <c r="C606" s="21" t="s">
        <v>3</v>
      </c>
      <c r="D606" s="21">
        <f>IFERROR(VLOOKUP(RIT_FUSIONS[[#This Row],[ID]],RIT_ACUM!A:A,1,0),"NOVO")</f>
        <v>46344</v>
      </c>
    </row>
    <row r="607" spans="1:4" hidden="1" x14ac:dyDescent="0.35">
      <c r="A607" s="1">
        <v>46342</v>
      </c>
      <c r="B607" s="2">
        <v>46283</v>
      </c>
      <c r="C607" s="21" t="s">
        <v>8</v>
      </c>
      <c r="D607" s="21">
        <f>IFERROR(VLOOKUP(RIT_FUSIONS[[#This Row],[ID]],RIT_ACUM!A:A,1,0),"NOVO")</f>
        <v>46342</v>
      </c>
    </row>
    <row r="608" spans="1:4" hidden="1" x14ac:dyDescent="0.35">
      <c r="A608" s="1">
        <v>46341</v>
      </c>
      <c r="B608" s="2">
        <v>46283</v>
      </c>
      <c r="C608" s="21" t="s">
        <v>8</v>
      </c>
      <c r="D608" s="21">
        <f>IFERROR(VLOOKUP(RIT_FUSIONS[[#This Row],[ID]],RIT_ACUM!A:A,1,0),"NOVO")</f>
        <v>46341</v>
      </c>
    </row>
    <row r="609" spans="1:4" hidden="1" x14ac:dyDescent="0.35">
      <c r="A609" s="1">
        <v>46340</v>
      </c>
      <c r="B609" s="2">
        <v>46283</v>
      </c>
      <c r="C609" s="21" t="s">
        <v>3</v>
      </c>
      <c r="D609" s="21">
        <f>IFERROR(VLOOKUP(RIT_FUSIONS[[#This Row],[ID]],RIT_ACUM!A:A,1,0),"NOVO")</f>
        <v>46340</v>
      </c>
    </row>
    <row r="610" spans="1:4" hidden="1" x14ac:dyDescent="0.35">
      <c r="A610" s="1">
        <v>46339</v>
      </c>
      <c r="B610" s="2">
        <v>46283</v>
      </c>
      <c r="C610" s="21" t="s">
        <v>3</v>
      </c>
      <c r="D610" s="21">
        <f>IFERROR(VLOOKUP(RIT_FUSIONS[[#This Row],[ID]],RIT_ACUM!A:A,1,0),"NOVO")</f>
        <v>46339</v>
      </c>
    </row>
    <row r="611" spans="1:4" hidden="1" x14ac:dyDescent="0.35">
      <c r="A611" s="1">
        <v>46338</v>
      </c>
      <c r="B611" s="2">
        <v>46282</v>
      </c>
      <c r="C611" s="21" t="s">
        <v>11</v>
      </c>
      <c r="D611" s="21">
        <f>IFERROR(VLOOKUP(RIT_FUSIONS[[#This Row],[ID]],RIT_ACUM!A:A,1,0),"NOVO")</f>
        <v>46338</v>
      </c>
    </row>
    <row r="612" spans="1:4" hidden="1" x14ac:dyDescent="0.35">
      <c r="A612" s="1">
        <v>46337</v>
      </c>
      <c r="B612" s="2">
        <v>46282</v>
      </c>
      <c r="C612" s="21" t="s">
        <v>11</v>
      </c>
      <c r="D612" s="21">
        <f>IFERROR(VLOOKUP(RIT_FUSIONS[[#This Row],[ID]],RIT_ACUM!A:A,1,0),"NOVO")</f>
        <v>46337</v>
      </c>
    </row>
    <row r="613" spans="1:4" hidden="1" x14ac:dyDescent="0.35">
      <c r="A613" s="1">
        <v>46336</v>
      </c>
      <c r="B613" s="2">
        <v>46282</v>
      </c>
      <c r="C613" s="21" t="s">
        <v>20</v>
      </c>
      <c r="D613" s="21">
        <f>IFERROR(VLOOKUP(RIT_FUSIONS[[#This Row],[ID]],RIT_ACUM!A:A,1,0),"NOVO")</f>
        <v>46336</v>
      </c>
    </row>
    <row r="614" spans="1:4" hidden="1" x14ac:dyDescent="0.35">
      <c r="A614" s="1">
        <v>46335</v>
      </c>
      <c r="B614" s="2">
        <v>46282</v>
      </c>
      <c r="C614" s="21" t="s">
        <v>20</v>
      </c>
      <c r="D614" s="21">
        <f>IFERROR(VLOOKUP(RIT_FUSIONS[[#This Row],[ID]],RIT_ACUM!A:A,1,0),"NOVO")</f>
        <v>46335</v>
      </c>
    </row>
    <row r="615" spans="1:4" hidden="1" x14ac:dyDescent="0.35">
      <c r="A615" s="1">
        <v>46334</v>
      </c>
      <c r="B615" s="2">
        <v>46282</v>
      </c>
      <c r="C615" s="21" t="s">
        <v>23</v>
      </c>
      <c r="D615" s="21">
        <f>IFERROR(VLOOKUP(RIT_FUSIONS[[#This Row],[ID]],RIT_ACUM!A:A,1,0),"NOVO")</f>
        <v>46334</v>
      </c>
    </row>
    <row r="616" spans="1:4" hidden="1" x14ac:dyDescent="0.35">
      <c r="A616" s="1">
        <v>46333</v>
      </c>
      <c r="B616" s="2">
        <v>46282</v>
      </c>
      <c r="C616" s="21" t="s">
        <v>23</v>
      </c>
      <c r="D616" s="21">
        <f>IFERROR(VLOOKUP(RIT_FUSIONS[[#This Row],[ID]],RIT_ACUM!A:A,1,0),"NOVO")</f>
        <v>46333</v>
      </c>
    </row>
    <row r="617" spans="1:4" hidden="1" x14ac:dyDescent="0.35">
      <c r="A617" s="1">
        <v>46329</v>
      </c>
      <c r="B617" s="2">
        <v>46282</v>
      </c>
      <c r="C617" s="21" t="s">
        <v>24</v>
      </c>
      <c r="D617" s="21">
        <f>IFERROR(VLOOKUP(RIT_FUSIONS[[#This Row],[ID]],RIT_ACUM!A:A,1,0),"NOVO")</f>
        <v>46329</v>
      </c>
    </row>
    <row r="618" spans="1:4" hidden="1" x14ac:dyDescent="0.35">
      <c r="A618" s="1">
        <v>46328</v>
      </c>
      <c r="B618" s="2">
        <v>46282</v>
      </c>
      <c r="C618" s="21" t="s">
        <v>24</v>
      </c>
      <c r="D618" s="21">
        <f>IFERROR(VLOOKUP(RIT_FUSIONS[[#This Row],[ID]],RIT_ACUM!A:A,1,0),"NOVO")</f>
        <v>46328</v>
      </c>
    </row>
    <row r="619" spans="1:4" hidden="1" x14ac:dyDescent="0.35">
      <c r="A619" s="1">
        <v>46327</v>
      </c>
      <c r="B619" s="2">
        <v>46282</v>
      </c>
      <c r="C619" s="21" t="s">
        <v>24</v>
      </c>
      <c r="D619" s="21">
        <f>IFERROR(VLOOKUP(RIT_FUSIONS[[#This Row],[ID]],RIT_ACUM!A:A,1,0),"NOVO")</f>
        <v>46327</v>
      </c>
    </row>
    <row r="620" spans="1:4" hidden="1" x14ac:dyDescent="0.35">
      <c r="A620" s="1">
        <v>46326</v>
      </c>
      <c r="B620" s="2">
        <v>46282</v>
      </c>
      <c r="C620" s="21" t="s">
        <v>9</v>
      </c>
      <c r="D620" s="21">
        <f>IFERROR(VLOOKUP(RIT_FUSIONS[[#This Row],[ID]],RIT_ACUM!A:A,1,0),"NOVO")</f>
        <v>46326</v>
      </c>
    </row>
    <row r="621" spans="1:4" hidden="1" x14ac:dyDescent="0.35">
      <c r="A621" s="1">
        <v>46325</v>
      </c>
      <c r="B621" s="2">
        <v>46282</v>
      </c>
      <c r="C621" s="21" t="s">
        <v>9</v>
      </c>
      <c r="D621" s="21">
        <f>IFERROR(VLOOKUP(RIT_FUSIONS[[#This Row],[ID]],RIT_ACUM!A:A,1,0),"NOVO")</f>
        <v>46325</v>
      </c>
    </row>
    <row r="622" spans="1:4" hidden="1" x14ac:dyDescent="0.35">
      <c r="A622" s="1">
        <v>46324</v>
      </c>
      <c r="B622" s="2">
        <v>46282</v>
      </c>
      <c r="C622" s="21" t="s">
        <v>8</v>
      </c>
      <c r="D622" s="21">
        <f>IFERROR(VLOOKUP(RIT_FUSIONS[[#This Row],[ID]],RIT_ACUM!A:A,1,0),"NOVO")</f>
        <v>46324</v>
      </c>
    </row>
    <row r="623" spans="1:4" hidden="1" x14ac:dyDescent="0.35">
      <c r="A623" s="1">
        <v>46323</v>
      </c>
      <c r="B623" s="2">
        <v>46282</v>
      </c>
      <c r="C623" s="21" t="s">
        <v>8</v>
      </c>
      <c r="D623" s="21">
        <f>IFERROR(VLOOKUP(RIT_FUSIONS[[#This Row],[ID]],RIT_ACUM!A:A,1,0),"NOVO")</f>
        <v>46323</v>
      </c>
    </row>
    <row r="624" spans="1:4" hidden="1" x14ac:dyDescent="0.35">
      <c r="A624" s="1">
        <v>46305</v>
      </c>
      <c r="B624" s="2">
        <v>46282</v>
      </c>
      <c r="C624" s="21" t="s">
        <v>17</v>
      </c>
      <c r="D624" s="21">
        <f>IFERROR(VLOOKUP(RIT_FUSIONS[[#This Row],[ID]],RIT_ACUM!A:A,1,0),"NOVO")</f>
        <v>46305</v>
      </c>
    </row>
    <row r="625" spans="1:4" hidden="1" x14ac:dyDescent="0.35">
      <c r="A625" s="1">
        <v>46304</v>
      </c>
      <c r="B625" s="2">
        <v>46282</v>
      </c>
      <c r="C625" s="21" t="s">
        <v>17</v>
      </c>
      <c r="D625" s="21">
        <f>IFERROR(VLOOKUP(RIT_FUSIONS[[#This Row],[ID]],RIT_ACUM!A:A,1,0),"NOVO")</f>
        <v>46304</v>
      </c>
    </row>
    <row r="626" spans="1:4" hidden="1" x14ac:dyDescent="0.35">
      <c r="A626" s="1">
        <v>46303</v>
      </c>
      <c r="B626" s="2">
        <v>46282</v>
      </c>
      <c r="C626" s="21" t="s">
        <v>3</v>
      </c>
      <c r="D626" s="21">
        <f>IFERROR(VLOOKUP(RIT_FUSIONS[[#This Row],[ID]],RIT_ACUM!A:A,1,0),"NOVO")</f>
        <v>46303</v>
      </c>
    </row>
    <row r="627" spans="1:4" hidden="1" x14ac:dyDescent="0.35">
      <c r="A627" s="1">
        <v>46302</v>
      </c>
      <c r="B627" s="2">
        <v>46282</v>
      </c>
      <c r="C627" s="21" t="s">
        <v>3</v>
      </c>
      <c r="D627" s="21">
        <f>IFERROR(VLOOKUP(RIT_FUSIONS[[#This Row],[ID]],RIT_ACUM!A:A,1,0),"NOVO")</f>
        <v>46302</v>
      </c>
    </row>
    <row r="628" spans="1:4" hidden="1" x14ac:dyDescent="0.35">
      <c r="A628" s="1">
        <v>46299</v>
      </c>
      <c r="B628" s="2">
        <v>46282</v>
      </c>
      <c r="C628" s="21" t="s">
        <v>3</v>
      </c>
      <c r="D628" s="21">
        <f>IFERROR(VLOOKUP(RIT_FUSIONS[[#This Row],[ID]],RIT_ACUM!A:A,1,0),"NOVO")</f>
        <v>46299</v>
      </c>
    </row>
    <row r="629" spans="1:4" hidden="1" x14ac:dyDescent="0.35">
      <c r="A629" s="1">
        <v>46298</v>
      </c>
      <c r="B629" s="2">
        <v>46282</v>
      </c>
      <c r="C629" s="21" t="s">
        <v>19</v>
      </c>
      <c r="D629" s="21">
        <f>IFERROR(VLOOKUP(RIT_FUSIONS[[#This Row],[ID]],RIT_ACUM!A:A,1,0),"NOVO")</f>
        <v>46298</v>
      </c>
    </row>
    <row r="630" spans="1:4" hidden="1" x14ac:dyDescent="0.35">
      <c r="A630" s="1">
        <v>46297</v>
      </c>
      <c r="B630" s="2">
        <v>46282</v>
      </c>
      <c r="C630" s="21" t="s">
        <v>19</v>
      </c>
      <c r="D630" s="21">
        <f>IFERROR(VLOOKUP(RIT_FUSIONS[[#This Row],[ID]],RIT_ACUM!A:A,1,0),"NOVO")</f>
        <v>46297</v>
      </c>
    </row>
    <row r="631" spans="1:4" hidden="1" x14ac:dyDescent="0.35">
      <c r="A631" s="1">
        <v>46296</v>
      </c>
      <c r="B631" s="2">
        <v>46282</v>
      </c>
      <c r="C631" s="21" t="s">
        <v>19</v>
      </c>
      <c r="D631" s="21">
        <f>IFERROR(VLOOKUP(RIT_FUSIONS[[#This Row],[ID]],RIT_ACUM!A:A,1,0),"NOVO")</f>
        <v>46296</v>
      </c>
    </row>
    <row r="632" spans="1:4" hidden="1" x14ac:dyDescent="0.35">
      <c r="A632" s="1">
        <v>46295</v>
      </c>
      <c r="B632" s="2">
        <v>46281</v>
      </c>
      <c r="C632" s="21" t="s">
        <v>11</v>
      </c>
      <c r="D632" s="21">
        <f>IFERROR(VLOOKUP(RIT_FUSIONS[[#This Row],[ID]],RIT_ACUM!A:A,1,0),"NOVO")</f>
        <v>46295</v>
      </c>
    </row>
    <row r="633" spans="1:4" hidden="1" x14ac:dyDescent="0.35">
      <c r="A633" s="1">
        <v>46294</v>
      </c>
      <c r="B633" s="2">
        <v>46281</v>
      </c>
      <c r="C633" s="21" t="s">
        <v>10</v>
      </c>
      <c r="D633" s="21">
        <f>IFERROR(VLOOKUP(RIT_FUSIONS[[#This Row],[ID]],RIT_ACUM!A:A,1,0),"NOVO")</f>
        <v>46294</v>
      </c>
    </row>
    <row r="634" spans="1:4" hidden="1" x14ac:dyDescent="0.35">
      <c r="A634" s="1">
        <v>46293</v>
      </c>
      <c r="B634" s="2">
        <v>46281</v>
      </c>
      <c r="C634" s="21" t="s">
        <v>10</v>
      </c>
      <c r="D634" s="21">
        <f>IFERROR(VLOOKUP(RIT_FUSIONS[[#This Row],[ID]],RIT_ACUM!A:A,1,0),"NOVO")</f>
        <v>46293</v>
      </c>
    </row>
    <row r="635" spans="1:4" hidden="1" x14ac:dyDescent="0.35">
      <c r="A635" s="1">
        <v>46292</v>
      </c>
      <c r="B635" s="2">
        <v>46281</v>
      </c>
      <c r="C635" s="21" t="s">
        <v>4</v>
      </c>
      <c r="D635" s="21">
        <f>IFERROR(VLOOKUP(RIT_FUSIONS[[#This Row],[ID]],RIT_ACUM!A:A,1,0),"NOVO")</f>
        <v>46292</v>
      </c>
    </row>
    <row r="636" spans="1:4" hidden="1" x14ac:dyDescent="0.35">
      <c r="A636" s="1">
        <v>46291</v>
      </c>
      <c r="B636" s="2">
        <v>46281</v>
      </c>
      <c r="C636" s="21" t="s">
        <v>4</v>
      </c>
      <c r="D636" s="21">
        <f>IFERROR(VLOOKUP(RIT_FUSIONS[[#This Row],[ID]],RIT_ACUM!A:A,1,0),"NOVO")</f>
        <v>46291</v>
      </c>
    </row>
    <row r="637" spans="1:4" hidden="1" x14ac:dyDescent="0.35">
      <c r="A637" s="1">
        <v>46290</v>
      </c>
      <c r="B637" s="2">
        <v>46281</v>
      </c>
      <c r="C637" s="21" t="s">
        <v>4</v>
      </c>
      <c r="D637" s="21">
        <f>IFERROR(VLOOKUP(RIT_FUSIONS[[#This Row],[ID]],RIT_ACUM!A:A,1,0),"NOVO")</f>
        <v>46290</v>
      </c>
    </row>
    <row r="638" spans="1:4" hidden="1" x14ac:dyDescent="0.35">
      <c r="A638" s="1">
        <v>46289</v>
      </c>
      <c r="B638" s="2">
        <v>46281</v>
      </c>
      <c r="C638" s="21" t="s">
        <v>6</v>
      </c>
      <c r="D638" s="21">
        <f>IFERROR(VLOOKUP(RIT_FUSIONS[[#This Row],[ID]],RIT_ACUM!A:A,1,0),"NOVO")</f>
        <v>46289</v>
      </c>
    </row>
    <row r="639" spans="1:4" hidden="1" x14ac:dyDescent="0.35">
      <c r="A639" s="1">
        <v>46288</v>
      </c>
      <c r="B639" s="2">
        <v>46281</v>
      </c>
      <c r="C639" s="21" t="s">
        <v>6</v>
      </c>
      <c r="D639" s="21">
        <f>IFERROR(VLOOKUP(RIT_FUSIONS[[#This Row],[ID]],RIT_ACUM!A:A,1,0),"NOVO")</f>
        <v>46288</v>
      </c>
    </row>
    <row r="640" spans="1:4" hidden="1" x14ac:dyDescent="0.35">
      <c r="A640" s="1">
        <v>46287</v>
      </c>
      <c r="B640" s="2">
        <v>46281</v>
      </c>
      <c r="C640" s="21" t="s">
        <v>17</v>
      </c>
      <c r="D640" s="21">
        <f>IFERROR(VLOOKUP(RIT_FUSIONS[[#This Row],[ID]],RIT_ACUM!A:A,1,0),"NOVO")</f>
        <v>46287</v>
      </c>
    </row>
    <row r="641" spans="1:4" hidden="1" x14ac:dyDescent="0.35">
      <c r="A641" s="1">
        <v>46286</v>
      </c>
      <c r="B641" s="2">
        <v>46281</v>
      </c>
      <c r="C641" s="21" t="s">
        <v>24</v>
      </c>
      <c r="D641" s="21">
        <f>IFERROR(VLOOKUP(RIT_FUSIONS[[#This Row],[ID]],RIT_ACUM!A:A,1,0),"NOVO")</f>
        <v>46286</v>
      </c>
    </row>
    <row r="642" spans="1:4" hidden="1" x14ac:dyDescent="0.35">
      <c r="A642" s="1">
        <v>46285</v>
      </c>
      <c r="B642" s="2">
        <v>46281</v>
      </c>
      <c r="C642" s="21" t="s">
        <v>24</v>
      </c>
      <c r="D642" s="21">
        <f>IFERROR(VLOOKUP(RIT_FUSIONS[[#This Row],[ID]],RIT_ACUM!A:A,1,0),"NOVO")</f>
        <v>46285</v>
      </c>
    </row>
    <row r="643" spans="1:4" hidden="1" x14ac:dyDescent="0.35">
      <c r="A643" s="1">
        <v>46283</v>
      </c>
      <c r="B643" s="2">
        <v>46281</v>
      </c>
      <c r="C643" s="21" t="s">
        <v>24</v>
      </c>
      <c r="D643" s="21">
        <f>IFERROR(VLOOKUP(RIT_FUSIONS[[#This Row],[ID]],RIT_ACUM!A:A,1,0),"NOVO")</f>
        <v>46283</v>
      </c>
    </row>
    <row r="644" spans="1:4" hidden="1" x14ac:dyDescent="0.35">
      <c r="A644" s="1">
        <v>46282</v>
      </c>
      <c r="B644" s="2">
        <v>46281</v>
      </c>
      <c r="C644" s="21" t="s">
        <v>24</v>
      </c>
      <c r="D644" s="21">
        <f>IFERROR(VLOOKUP(RIT_FUSIONS[[#This Row],[ID]],RIT_ACUM!A:A,1,0),"NOVO")</f>
        <v>46282</v>
      </c>
    </row>
    <row r="645" spans="1:4" hidden="1" x14ac:dyDescent="0.35">
      <c r="A645" s="1">
        <v>46277</v>
      </c>
      <c r="B645" s="2">
        <v>46281</v>
      </c>
      <c r="C645" s="21" t="s">
        <v>7</v>
      </c>
      <c r="D645" s="21">
        <f>IFERROR(VLOOKUP(RIT_FUSIONS[[#This Row],[ID]],RIT_ACUM!A:A,1,0),"NOVO")</f>
        <v>46277</v>
      </c>
    </row>
    <row r="646" spans="1:4" hidden="1" x14ac:dyDescent="0.35">
      <c r="A646" s="1">
        <v>46256</v>
      </c>
      <c r="B646" s="2">
        <v>46281</v>
      </c>
      <c r="C646" s="21" t="s">
        <v>3</v>
      </c>
      <c r="D646" s="21">
        <f>IFERROR(VLOOKUP(RIT_FUSIONS[[#This Row],[ID]],RIT_ACUM!A:A,1,0),"NOVO")</f>
        <v>46256</v>
      </c>
    </row>
    <row r="647" spans="1:4" hidden="1" x14ac:dyDescent="0.35">
      <c r="A647" s="1">
        <v>46255</v>
      </c>
      <c r="B647" s="2">
        <v>46281</v>
      </c>
      <c r="C647" s="21" t="s">
        <v>28</v>
      </c>
      <c r="D647" s="21">
        <f>IFERROR(VLOOKUP(RIT_FUSIONS[[#This Row],[ID]],RIT_ACUM!A:A,1,0),"NOVO")</f>
        <v>46255</v>
      </c>
    </row>
    <row r="648" spans="1:4" hidden="1" x14ac:dyDescent="0.35">
      <c r="A648" s="1">
        <v>46253</v>
      </c>
      <c r="B648" s="2">
        <v>46281</v>
      </c>
      <c r="C648" s="21" t="s">
        <v>3</v>
      </c>
      <c r="D648" s="21">
        <f>IFERROR(VLOOKUP(RIT_FUSIONS[[#This Row],[ID]],RIT_ACUM!A:A,1,0),"NOVO")</f>
        <v>46253</v>
      </c>
    </row>
    <row r="649" spans="1:4" hidden="1" x14ac:dyDescent="0.35">
      <c r="A649" s="1">
        <v>46252</v>
      </c>
      <c r="B649" s="2">
        <v>46281</v>
      </c>
      <c r="C649" s="21" t="s">
        <v>3</v>
      </c>
      <c r="D649" s="21">
        <f>IFERROR(VLOOKUP(RIT_FUSIONS[[#This Row],[ID]],RIT_ACUM!A:A,1,0),"NOVO")</f>
        <v>46252</v>
      </c>
    </row>
    <row r="650" spans="1:4" hidden="1" x14ac:dyDescent="0.35">
      <c r="A650" s="1">
        <v>46249</v>
      </c>
      <c r="B650" s="2">
        <v>46281</v>
      </c>
      <c r="C650" s="21" t="s">
        <v>3</v>
      </c>
      <c r="D650" s="21">
        <f>IFERROR(VLOOKUP(RIT_FUSIONS[[#This Row],[ID]],RIT_ACUM!A:A,1,0),"NOVO")</f>
        <v>46249</v>
      </c>
    </row>
    <row r="651" spans="1:4" hidden="1" x14ac:dyDescent="0.35">
      <c r="A651" s="1">
        <v>46248</v>
      </c>
      <c r="B651" s="2">
        <v>46281</v>
      </c>
      <c r="C651" s="21" t="s">
        <v>9</v>
      </c>
      <c r="D651" s="21">
        <f>IFERROR(VLOOKUP(RIT_FUSIONS[[#This Row],[ID]],RIT_ACUM!A:A,1,0),"NOVO")</f>
        <v>46248</v>
      </c>
    </row>
    <row r="652" spans="1:4" hidden="1" x14ac:dyDescent="0.35">
      <c r="A652" s="1">
        <v>46247</v>
      </c>
      <c r="B652" s="2">
        <v>46281</v>
      </c>
      <c r="C652" s="21" t="s">
        <v>9</v>
      </c>
      <c r="D652" s="21">
        <f>IFERROR(VLOOKUP(RIT_FUSIONS[[#This Row],[ID]],RIT_ACUM!A:A,1,0),"NOVO")</f>
        <v>46247</v>
      </c>
    </row>
    <row r="653" spans="1:4" hidden="1" x14ac:dyDescent="0.35">
      <c r="A653" s="1">
        <v>46246</v>
      </c>
      <c r="B653" s="2">
        <v>46281</v>
      </c>
      <c r="C653" s="21" t="s">
        <v>19</v>
      </c>
      <c r="D653" s="21">
        <f>IFERROR(VLOOKUP(RIT_FUSIONS[[#This Row],[ID]],RIT_ACUM!A:A,1,0),"NOVO")</f>
        <v>46246</v>
      </c>
    </row>
    <row r="654" spans="1:4" hidden="1" x14ac:dyDescent="0.35">
      <c r="A654" s="1">
        <v>46245</v>
      </c>
      <c r="B654" s="2">
        <v>46281</v>
      </c>
      <c r="C654" s="21" t="s">
        <v>19</v>
      </c>
      <c r="D654" s="21">
        <f>IFERROR(VLOOKUP(RIT_FUSIONS[[#This Row],[ID]],RIT_ACUM!A:A,1,0),"NOVO")</f>
        <v>46245</v>
      </c>
    </row>
    <row r="655" spans="1:4" hidden="1" x14ac:dyDescent="0.35">
      <c r="A655" s="1">
        <v>46244</v>
      </c>
      <c r="B655" s="2">
        <v>46281</v>
      </c>
      <c r="C655" s="21" t="s">
        <v>8</v>
      </c>
      <c r="D655" s="21">
        <f>IFERROR(VLOOKUP(RIT_FUSIONS[[#This Row],[ID]],RIT_ACUM!A:A,1,0),"NOVO")</f>
        <v>46244</v>
      </c>
    </row>
    <row r="656" spans="1:4" hidden="1" x14ac:dyDescent="0.35">
      <c r="A656" s="1">
        <v>46243</v>
      </c>
      <c r="B656" s="2">
        <v>46281</v>
      </c>
      <c r="C656" s="21" t="s">
        <v>8</v>
      </c>
      <c r="D656" s="21">
        <f>IFERROR(VLOOKUP(RIT_FUSIONS[[#This Row],[ID]],RIT_ACUM!A:A,1,0),"NOVO")</f>
        <v>46243</v>
      </c>
    </row>
    <row r="657" spans="1:4" hidden="1" x14ac:dyDescent="0.35">
      <c r="A657" s="1">
        <v>46242</v>
      </c>
      <c r="B657" s="2">
        <v>46280</v>
      </c>
      <c r="C657" s="21" t="s">
        <v>4</v>
      </c>
      <c r="D657" s="21">
        <f>IFERROR(VLOOKUP(RIT_FUSIONS[[#This Row],[ID]],RIT_ACUM!A:A,1,0),"NOVO")</f>
        <v>46242</v>
      </c>
    </row>
    <row r="658" spans="1:4" hidden="1" x14ac:dyDescent="0.35">
      <c r="A658" s="1">
        <v>46241</v>
      </c>
      <c r="B658" s="2">
        <v>46280</v>
      </c>
      <c r="C658" s="21" t="s">
        <v>4</v>
      </c>
      <c r="D658" s="21">
        <f>IFERROR(VLOOKUP(RIT_FUSIONS[[#This Row],[ID]],RIT_ACUM!A:A,1,0),"NOVO")</f>
        <v>46241</v>
      </c>
    </row>
    <row r="659" spans="1:4" hidden="1" x14ac:dyDescent="0.35">
      <c r="A659" s="1">
        <v>46240</v>
      </c>
      <c r="B659" s="2">
        <v>46280</v>
      </c>
      <c r="C659" s="21" t="s">
        <v>4</v>
      </c>
      <c r="D659" s="21">
        <f>IFERROR(VLOOKUP(RIT_FUSIONS[[#This Row],[ID]],RIT_ACUM!A:A,1,0),"NOVO")</f>
        <v>46240</v>
      </c>
    </row>
    <row r="660" spans="1:4" hidden="1" x14ac:dyDescent="0.35">
      <c r="A660" s="1">
        <v>46239</v>
      </c>
      <c r="B660" s="2">
        <v>46280</v>
      </c>
      <c r="C660" s="21" t="s">
        <v>6</v>
      </c>
      <c r="D660" s="21">
        <f>IFERROR(VLOOKUP(RIT_FUSIONS[[#This Row],[ID]],RIT_ACUM!A:A,1,0),"NOVO")</f>
        <v>46239</v>
      </c>
    </row>
    <row r="661" spans="1:4" hidden="1" x14ac:dyDescent="0.35">
      <c r="A661" s="1">
        <v>46238</v>
      </c>
      <c r="B661" s="2">
        <v>46280</v>
      </c>
      <c r="C661" s="21" t="s">
        <v>6</v>
      </c>
      <c r="D661" s="21">
        <f>IFERROR(VLOOKUP(RIT_FUSIONS[[#This Row],[ID]],RIT_ACUM!A:A,1,0),"NOVO")</f>
        <v>46238</v>
      </c>
    </row>
    <row r="662" spans="1:4" hidden="1" x14ac:dyDescent="0.35">
      <c r="A662" s="1">
        <v>46234</v>
      </c>
      <c r="B662" s="2">
        <v>46280</v>
      </c>
      <c r="C662" s="21" t="s">
        <v>17</v>
      </c>
      <c r="D662" s="21">
        <f>IFERROR(VLOOKUP(RIT_FUSIONS[[#This Row],[ID]],RIT_ACUM!A:A,1,0),"NOVO")</f>
        <v>46234</v>
      </c>
    </row>
    <row r="663" spans="1:4" hidden="1" x14ac:dyDescent="0.35">
      <c r="A663" s="1">
        <v>46233</v>
      </c>
      <c r="B663" s="2">
        <v>46280</v>
      </c>
      <c r="C663" s="21" t="s">
        <v>17</v>
      </c>
      <c r="D663" s="21">
        <f>IFERROR(VLOOKUP(RIT_FUSIONS[[#This Row],[ID]],RIT_ACUM!A:A,1,0),"NOVO")</f>
        <v>46233</v>
      </c>
    </row>
    <row r="664" spans="1:4" hidden="1" x14ac:dyDescent="0.35">
      <c r="A664" s="1">
        <v>46232</v>
      </c>
      <c r="B664" s="2">
        <v>46280</v>
      </c>
      <c r="C664" s="21" t="s">
        <v>24</v>
      </c>
      <c r="D664" s="21">
        <f>IFERROR(VLOOKUP(RIT_FUSIONS[[#This Row],[ID]],RIT_ACUM!A:A,1,0),"NOVO")</f>
        <v>46232</v>
      </c>
    </row>
    <row r="665" spans="1:4" hidden="1" x14ac:dyDescent="0.35">
      <c r="A665" s="1">
        <v>46231</v>
      </c>
      <c r="B665" s="2">
        <v>46280</v>
      </c>
      <c r="C665" s="21" t="s">
        <v>3</v>
      </c>
      <c r="D665" s="21">
        <f>IFERROR(VLOOKUP(RIT_FUSIONS[[#This Row],[ID]],RIT_ACUM!A:A,1,0),"NOVO")</f>
        <v>46231</v>
      </c>
    </row>
    <row r="666" spans="1:4" hidden="1" x14ac:dyDescent="0.35">
      <c r="A666" s="1">
        <v>46230</v>
      </c>
      <c r="B666" s="2">
        <v>46280</v>
      </c>
      <c r="C666" s="21" t="s">
        <v>23</v>
      </c>
      <c r="D666" s="21">
        <f>IFERROR(VLOOKUP(RIT_FUSIONS[[#This Row],[ID]],RIT_ACUM!A:A,1,0),"NOVO")</f>
        <v>46230</v>
      </c>
    </row>
    <row r="667" spans="1:4" hidden="1" x14ac:dyDescent="0.35">
      <c r="A667" s="1">
        <v>46229</v>
      </c>
      <c r="B667" s="2">
        <v>46280</v>
      </c>
      <c r="C667" s="21" t="s">
        <v>23</v>
      </c>
      <c r="D667" s="21">
        <f>IFERROR(VLOOKUP(RIT_FUSIONS[[#This Row],[ID]],RIT_ACUM!A:A,1,0),"NOVO")</f>
        <v>46229</v>
      </c>
    </row>
    <row r="668" spans="1:4" hidden="1" x14ac:dyDescent="0.35">
      <c r="A668" s="1">
        <v>46228</v>
      </c>
      <c r="B668" s="2">
        <v>46280</v>
      </c>
      <c r="C668" s="21" t="s">
        <v>3</v>
      </c>
      <c r="D668" s="21">
        <f>IFERROR(VLOOKUP(RIT_FUSIONS[[#This Row],[ID]],RIT_ACUM!A:A,1,0),"NOVO")</f>
        <v>46228</v>
      </c>
    </row>
    <row r="669" spans="1:4" hidden="1" x14ac:dyDescent="0.35">
      <c r="A669" s="1">
        <v>46227</v>
      </c>
      <c r="B669" s="2">
        <v>46280</v>
      </c>
      <c r="C669" s="21" t="s">
        <v>28</v>
      </c>
      <c r="D669" s="21">
        <f>IFERROR(VLOOKUP(RIT_FUSIONS[[#This Row],[ID]],RIT_ACUM!A:A,1,0),"NOVO")</f>
        <v>46227</v>
      </c>
    </row>
    <row r="670" spans="1:4" hidden="1" x14ac:dyDescent="0.35">
      <c r="A670" s="1">
        <v>46225</v>
      </c>
      <c r="B670" s="2">
        <v>46280</v>
      </c>
      <c r="C670" s="21" t="s">
        <v>7</v>
      </c>
      <c r="D670" s="21">
        <f>IFERROR(VLOOKUP(RIT_FUSIONS[[#This Row],[ID]],RIT_ACUM!A:A,1,0),"NOVO")</f>
        <v>46225</v>
      </c>
    </row>
    <row r="671" spans="1:4" hidden="1" x14ac:dyDescent="0.35">
      <c r="A671" s="1">
        <v>46221</v>
      </c>
      <c r="B671" s="2">
        <v>46280</v>
      </c>
      <c r="C671" s="21" t="s">
        <v>3</v>
      </c>
      <c r="D671" s="21">
        <f>IFERROR(VLOOKUP(RIT_FUSIONS[[#This Row],[ID]],RIT_ACUM!A:A,1,0),"NOVO")</f>
        <v>46221</v>
      </c>
    </row>
    <row r="672" spans="1:4" hidden="1" x14ac:dyDescent="0.35">
      <c r="A672" s="1">
        <v>46219</v>
      </c>
      <c r="B672" s="2">
        <v>46280</v>
      </c>
      <c r="C672" s="21" t="s">
        <v>3</v>
      </c>
      <c r="D672" s="21">
        <f>IFERROR(VLOOKUP(RIT_FUSIONS[[#This Row],[ID]],RIT_ACUM!A:A,1,0),"NOVO")</f>
        <v>46219</v>
      </c>
    </row>
    <row r="673" spans="1:4" hidden="1" x14ac:dyDescent="0.35">
      <c r="A673" s="1">
        <v>46218</v>
      </c>
      <c r="B673" s="2">
        <v>46280</v>
      </c>
      <c r="C673" s="21" t="s">
        <v>3</v>
      </c>
      <c r="D673" s="21">
        <f>IFERROR(VLOOKUP(RIT_FUSIONS[[#This Row],[ID]],RIT_ACUM!A:A,1,0),"NOVO")</f>
        <v>46218</v>
      </c>
    </row>
    <row r="674" spans="1:4" hidden="1" x14ac:dyDescent="0.35">
      <c r="A674" s="1">
        <v>46215</v>
      </c>
      <c r="B674" s="2">
        <v>46280</v>
      </c>
      <c r="C674" s="21" t="s">
        <v>7</v>
      </c>
      <c r="D674" s="21">
        <f>IFERROR(VLOOKUP(RIT_FUSIONS[[#This Row],[ID]],RIT_ACUM!A:A,1,0),"NOVO")</f>
        <v>46215</v>
      </c>
    </row>
    <row r="675" spans="1:4" hidden="1" x14ac:dyDescent="0.35">
      <c r="A675" s="1">
        <v>46214</v>
      </c>
      <c r="B675" s="2">
        <v>46280</v>
      </c>
      <c r="C675" s="21" t="s">
        <v>9</v>
      </c>
      <c r="D675" s="21">
        <f>IFERROR(VLOOKUP(RIT_FUSIONS[[#This Row],[ID]],RIT_ACUM!A:A,1,0),"NOVO")</f>
        <v>46214</v>
      </c>
    </row>
    <row r="676" spans="1:4" hidden="1" x14ac:dyDescent="0.35">
      <c r="A676" s="1">
        <v>46211</v>
      </c>
      <c r="B676" s="2">
        <v>46280</v>
      </c>
      <c r="C676" s="21" t="s">
        <v>24</v>
      </c>
      <c r="D676" s="21">
        <f>IFERROR(VLOOKUP(RIT_FUSIONS[[#This Row],[ID]],RIT_ACUM!A:A,1,0),"NOVO")</f>
        <v>46211</v>
      </c>
    </row>
    <row r="677" spans="1:4" hidden="1" x14ac:dyDescent="0.35">
      <c r="A677" s="1">
        <v>46210</v>
      </c>
      <c r="B677" s="2">
        <v>46280</v>
      </c>
      <c r="C677" s="21" t="s">
        <v>24</v>
      </c>
      <c r="D677" s="21">
        <f>IFERROR(VLOOKUP(RIT_FUSIONS[[#This Row],[ID]],RIT_ACUM!A:A,1,0),"NOVO")</f>
        <v>46210</v>
      </c>
    </row>
    <row r="678" spans="1:4" hidden="1" x14ac:dyDescent="0.35">
      <c r="A678" s="1">
        <v>46209</v>
      </c>
      <c r="B678" s="2">
        <v>46280</v>
      </c>
      <c r="C678" s="21" t="s">
        <v>24</v>
      </c>
      <c r="D678" s="21">
        <f>IFERROR(VLOOKUP(RIT_FUSIONS[[#This Row],[ID]],RIT_ACUM!A:A,1,0),"NOVO")</f>
        <v>46209</v>
      </c>
    </row>
    <row r="679" spans="1:4" hidden="1" x14ac:dyDescent="0.35">
      <c r="A679" s="1">
        <v>46208</v>
      </c>
      <c r="B679" s="2">
        <v>46280</v>
      </c>
      <c r="C679" s="21" t="s">
        <v>24</v>
      </c>
      <c r="D679" s="21">
        <f>IFERROR(VLOOKUP(RIT_FUSIONS[[#This Row],[ID]],RIT_ACUM!A:A,1,0),"NOVO")</f>
        <v>46208</v>
      </c>
    </row>
    <row r="680" spans="1:4" hidden="1" x14ac:dyDescent="0.35">
      <c r="A680" s="1">
        <v>46207</v>
      </c>
      <c r="B680" s="2">
        <v>46280</v>
      </c>
      <c r="C680" s="21" t="s">
        <v>24</v>
      </c>
      <c r="D680" s="21">
        <f>IFERROR(VLOOKUP(RIT_FUSIONS[[#This Row],[ID]],RIT_ACUM!A:A,1,0),"NOVO")</f>
        <v>46207</v>
      </c>
    </row>
    <row r="681" spans="1:4" hidden="1" x14ac:dyDescent="0.35">
      <c r="A681" s="1">
        <v>46206</v>
      </c>
      <c r="B681" s="2">
        <v>46280</v>
      </c>
      <c r="C681" s="21" t="s">
        <v>9</v>
      </c>
      <c r="D681" s="21">
        <f>IFERROR(VLOOKUP(RIT_FUSIONS[[#This Row],[ID]],RIT_ACUM!A:A,1,0),"NOVO")</f>
        <v>46206</v>
      </c>
    </row>
    <row r="682" spans="1:4" hidden="1" x14ac:dyDescent="0.35">
      <c r="A682" s="1">
        <v>46205</v>
      </c>
      <c r="B682" s="2">
        <v>46280</v>
      </c>
      <c r="C682" s="21" t="s">
        <v>8</v>
      </c>
      <c r="D682" s="21">
        <f>IFERROR(VLOOKUP(RIT_FUSIONS[[#This Row],[ID]],RIT_ACUM!A:A,1,0),"NOVO")</f>
        <v>46205</v>
      </c>
    </row>
    <row r="683" spans="1:4" hidden="1" x14ac:dyDescent="0.35">
      <c r="A683" s="1">
        <v>46204</v>
      </c>
      <c r="B683" s="2">
        <v>46280</v>
      </c>
      <c r="C683" s="21" t="s">
        <v>8</v>
      </c>
      <c r="D683" s="21">
        <f>IFERROR(VLOOKUP(RIT_FUSIONS[[#This Row],[ID]],RIT_ACUM!A:A,1,0),"NOVO")</f>
        <v>46204</v>
      </c>
    </row>
    <row r="684" spans="1:4" hidden="1" x14ac:dyDescent="0.35">
      <c r="A684" s="1">
        <v>46195</v>
      </c>
      <c r="B684" s="2">
        <v>46280</v>
      </c>
      <c r="C684" s="21" t="s">
        <v>19</v>
      </c>
      <c r="D684" s="21">
        <f>IFERROR(VLOOKUP(RIT_FUSIONS[[#This Row],[ID]],RIT_ACUM!A:A,1,0),"NOVO")</f>
        <v>46195</v>
      </c>
    </row>
    <row r="685" spans="1:4" hidden="1" x14ac:dyDescent="0.35">
      <c r="A685" s="1">
        <v>46194</v>
      </c>
      <c r="B685" s="2">
        <v>46280</v>
      </c>
      <c r="C685" s="21" t="s">
        <v>19</v>
      </c>
      <c r="D685" s="21">
        <f>IFERROR(VLOOKUP(RIT_FUSIONS[[#This Row],[ID]],RIT_ACUM!A:A,1,0),"NOVO")</f>
        <v>46194</v>
      </c>
    </row>
    <row r="686" spans="1:4" hidden="1" x14ac:dyDescent="0.35">
      <c r="A686" s="1">
        <v>46193</v>
      </c>
      <c r="B686" s="2">
        <v>46279</v>
      </c>
      <c r="C686" s="21" t="s">
        <v>23</v>
      </c>
      <c r="D686" s="21">
        <f>IFERROR(VLOOKUP(RIT_FUSIONS[[#This Row],[ID]],RIT_ACUM!A:A,1,0),"NOVO")</f>
        <v>46193</v>
      </c>
    </row>
    <row r="687" spans="1:4" hidden="1" x14ac:dyDescent="0.35">
      <c r="A687" s="1">
        <v>46192</v>
      </c>
      <c r="B687" s="2">
        <v>46279</v>
      </c>
      <c r="C687" s="21" t="s">
        <v>17</v>
      </c>
      <c r="D687" s="21">
        <f>IFERROR(VLOOKUP(RIT_FUSIONS[[#This Row],[ID]],RIT_ACUM!A:A,1,0),"NOVO")</f>
        <v>46192</v>
      </c>
    </row>
    <row r="688" spans="1:4" hidden="1" x14ac:dyDescent="0.35">
      <c r="A688" s="1">
        <v>46191</v>
      </c>
      <c r="B688" s="2">
        <v>46279</v>
      </c>
      <c r="C688" s="21" t="s">
        <v>23</v>
      </c>
      <c r="D688" s="21">
        <f>IFERROR(VLOOKUP(RIT_FUSIONS[[#This Row],[ID]],RIT_ACUM!A:A,1,0),"NOVO")</f>
        <v>46191</v>
      </c>
    </row>
    <row r="689" spans="1:4" hidden="1" x14ac:dyDescent="0.35">
      <c r="A689" s="1">
        <v>46187</v>
      </c>
      <c r="B689" s="2">
        <v>46279</v>
      </c>
      <c r="C689" s="21" t="s">
        <v>17</v>
      </c>
      <c r="D689" s="21">
        <f>IFERROR(VLOOKUP(RIT_FUSIONS[[#This Row],[ID]],RIT_ACUM!A:A,1,0),"NOVO")</f>
        <v>46187</v>
      </c>
    </row>
    <row r="690" spans="1:4" hidden="1" x14ac:dyDescent="0.35">
      <c r="A690" s="1">
        <v>46186</v>
      </c>
      <c r="B690" s="2">
        <v>46279</v>
      </c>
      <c r="C690" s="21" t="s">
        <v>24</v>
      </c>
      <c r="D690" s="21">
        <f>IFERROR(VLOOKUP(RIT_FUSIONS[[#This Row],[ID]],RIT_ACUM!A:A,1,0),"NOVO")</f>
        <v>46186</v>
      </c>
    </row>
    <row r="691" spans="1:4" hidden="1" x14ac:dyDescent="0.35">
      <c r="A691" s="1">
        <v>46184</v>
      </c>
      <c r="B691" s="2">
        <v>46279</v>
      </c>
      <c r="C691" s="21" t="s">
        <v>3</v>
      </c>
      <c r="D691" s="21">
        <f>IFERROR(VLOOKUP(RIT_FUSIONS[[#This Row],[ID]],RIT_ACUM!A:A,1,0),"NOVO")</f>
        <v>46184</v>
      </c>
    </row>
    <row r="692" spans="1:4" hidden="1" x14ac:dyDescent="0.35">
      <c r="A692" s="1">
        <v>46183</v>
      </c>
      <c r="B692" s="2">
        <v>46279</v>
      </c>
      <c r="C692" s="21" t="s">
        <v>28</v>
      </c>
      <c r="D692" s="21">
        <f>IFERROR(VLOOKUP(RIT_FUSIONS[[#This Row],[ID]],RIT_ACUM!A:A,1,0),"NOVO")</f>
        <v>46183</v>
      </c>
    </row>
    <row r="693" spans="1:4" hidden="1" x14ac:dyDescent="0.35">
      <c r="A693" s="1">
        <v>46182</v>
      </c>
      <c r="B693" s="2">
        <v>46279</v>
      </c>
      <c r="C693" s="21" t="s">
        <v>10</v>
      </c>
      <c r="D693" s="21">
        <f>IFERROR(VLOOKUP(RIT_FUSIONS[[#This Row],[ID]],RIT_ACUM!A:A,1,0),"NOVO")</f>
        <v>46182</v>
      </c>
    </row>
    <row r="694" spans="1:4" hidden="1" x14ac:dyDescent="0.35">
      <c r="A694" s="1">
        <v>46181</v>
      </c>
      <c r="B694" s="2">
        <v>46279</v>
      </c>
      <c r="C694" s="21" t="s">
        <v>10</v>
      </c>
      <c r="D694" s="21">
        <f>IFERROR(VLOOKUP(RIT_FUSIONS[[#This Row],[ID]],RIT_ACUM!A:A,1,0),"NOVO")</f>
        <v>46181</v>
      </c>
    </row>
    <row r="695" spans="1:4" hidden="1" x14ac:dyDescent="0.35">
      <c r="A695" s="1">
        <v>46180</v>
      </c>
      <c r="B695" s="2">
        <v>46279</v>
      </c>
      <c r="C695" s="21" t="s">
        <v>24</v>
      </c>
      <c r="D695" s="21">
        <f>IFERROR(VLOOKUP(RIT_FUSIONS[[#This Row],[ID]],RIT_ACUM!A:A,1,0),"NOVO")</f>
        <v>46180</v>
      </c>
    </row>
    <row r="696" spans="1:4" hidden="1" x14ac:dyDescent="0.35">
      <c r="A696" s="1">
        <v>46179</v>
      </c>
      <c r="B696" s="2">
        <v>46279</v>
      </c>
      <c r="C696" s="21" t="s">
        <v>24</v>
      </c>
      <c r="D696" s="21">
        <f>IFERROR(VLOOKUP(RIT_FUSIONS[[#This Row],[ID]],RIT_ACUM!A:A,1,0),"NOVO")</f>
        <v>46179</v>
      </c>
    </row>
    <row r="697" spans="1:4" hidden="1" x14ac:dyDescent="0.35">
      <c r="A697" s="1">
        <v>46178</v>
      </c>
      <c r="B697" s="2">
        <v>46279</v>
      </c>
      <c r="C697" s="21" t="s">
        <v>24</v>
      </c>
      <c r="D697" s="21">
        <f>IFERROR(VLOOKUP(RIT_FUSIONS[[#This Row],[ID]],RIT_ACUM!A:A,1,0),"NOVO")</f>
        <v>46178</v>
      </c>
    </row>
    <row r="698" spans="1:4" hidden="1" x14ac:dyDescent="0.35">
      <c r="A698" s="1">
        <v>46177</v>
      </c>
      <c r="B698" s="2">
        <v>46279</v>
      </c>
      <c r="C698" s="21" t="s">
        <v>24</v>
      </c>
      <c r="D698" s="21">
        <f>IFERROR(VLOOKUP(RIT_FUSIONS[[#This Row],[ID]],RIT_ACUM!A:A,1,0),"NOVO")</f>
        <v>46177</v>
      </c>
    </row>
    <row r="699" spans="1:4" hidden="1" x14ac:dyDescent="0.35">
      <c r="A699" s="1">
        <v>46176</v>
      </c>
      <c r="B699" s="2">
        <v>46279</v>
      </c>
      <c r="C699" s="21" t="s">
        <v>24</v>
      </c>
      <c r="D699" s="21">
        <f>IFERROR(VLOOKUP(RIT_FUSIONS[[#This Row],[ID]],RIT_ACUM!A:A,1,0),"NOVO")</f>
        <v>46176</v>
      </c>
    </row>
    <row r="700" spans="1:4" hidden="1" x14ac:dyDescent="0.35">
      <c r="A700" s="1">
        <v>46175</v>
      </c>
      <c r="B700" s="2">
        <v>46279</v>
      </c>
      <c r="C700" s="21" t="s">
        <v>24</v>
      </c>
      <c r="D700" s="21">
        <f>IFERROR(VLOOKUP(RIT_FUSIONS[[#This Row],[ID]],RIT_ACUM!A:A,1,0),"NOVO")</f>
        <v>46175</v>
      </c>
    </row>
    <row r="701" spans="1:4" hidden="1" x14ac:dyDescent="0.35">
      <c r="A701" s="1">
        <v>46174</v>
      </c>
      <c r="B701" s="2">
        <v>46279</v>
      </c>
      <c r="C701" s="21" t="s">
        <v>3</v>
      </c>
      <c r="D701" s="21">
        <f>IFERROR(VLOOKUP(RIT_FUSIONS[[#This Row],[ID]],RIT_ACUM!A:A,1,0),"NOVO")</f>
        <v>46174</v>
      </c>
    </row>
    <row r="702" spans="1:4" hidden="1" x14ac:dyDescent="0.35">
      <c r="A702" s="1">
        <v>46173</v>
      </c>
      <c r="B702" s="2">
        <v>46279</v>
      </c>
      <c r="C702" s="21" t="s">
        <v>28</v>
      </c>
      <c r="D702" s="21">
        <f>IFERROR(VLOOKUP(RIT_FUSIONS[[#This Row],[ID]],RIT_ACUM!A:A,1,0),"NOVO")</f>
        <v>46173</v>
      </c>
    </row>
    <row r="703" spans="1:4" hidden="1" x14ac:dyDescent="0.35">
      <c r="A703" s="1">
        <v>46172</v>
      </c>
      <c r="B703" s="2">
        <v>46279</v>
      </c>
      <c r="C703" s="21" t="s">
        <v>6</v>
      </c>
      <c r="D703" s="21">
        <f>IFERROR(VLOOKUP(RIT_FUSIONS[[#This Row],[ID]],RIT_ACUM!A:A,1,0),"NOVO")</f>
        <v>46172</v>
      </c>
    </row>
    <row r="704" spans="1:4" hidden="1" x14ac:dyDescent="0.35">
      <c r="A704" s="1">
        <v>46171</v>
      </c>
      <c r="B704" s="2">
        <v>46279</v>
      </c>
      <c r="C704" s="21" t="s">
        <v>3</v>
      </c>
      <c r="D704" s="21">
        <f>IFERROR(VLOOKUP(RIT_FUSIONS[[#This Row],[ID]],RIT_ACUM!A:A,1,0),"NOVO")</f>
        <v>46171</v>
      </c>
    </row>
    <row r="705" spans="1:4" hidden="1" x14ac:dyDescent="0.35">
      <c r="A705" s="1">
        <v>46170</v>
      </c>
      <c r="B705" s="2">
        <v>46279</v>
      </c>
      <c r="C705" s="21" t="s">
        <v>3</v>
      </c>
      <c r="D705" s="21">
        <f>IFERROR(VLOOKUP(RIT_FUSIONS[[#This Row],[ID]],RIT_ACUM!A:A,1,0),"NOVO")</f>
        <v>46170</v>
      </c>
    </row>
    <row r="706" spans="1:4" hidden="1" x14ac:dyDescent="0.35">
      <c r="A706" s="1">
        <v>46168</v>
      </c>
      <c r="B706" s="2">
        <v>46279</v>
      </c>
      <c r="C706" s="21" t="s">
        <v>7</v>
      </c>
      <c r="D706" s="21">
        <f>IFERROR(VLOOKUP(RIT_FUSIONS[[#This Row],[ID]],RIT_ACUM!A:A,1,0),"NOVO")</f>
        <v>46168</v>
      </c>
    </row>
    <row r="707" spans="1:4" hidden="1" x14ac:dyDescent="0.35">
      <c r="A707" s="1">
        <v>46167</v>
      </c>
      <c r="B707" s="2">
        <v>46279</v>
      </c>
      <c r="C707" s="21" t="s">
        <v>7</v>
      </c>
      <c r="D707" s="21">
        <f>IFERROR(VLOOKUP(RIT_FUSIONS[[#This Row],[ID]],RIT_ACUM!A:A,1,0),"NOVO")</f>
        <v>46167</v>
      </c>
    </row>
    <row r="708" spans="1:4" hidden="1" x14ac:dyDescent="0.35">
      <c r="A708" s="1">
        <v>46151</v>
      </c>
      <c r="B708" s="2">
        <v>46279</v>
      </c>
      <c r="C708" s="21" t="s">
        <v>19</v>
      </c>
      <c r="D708" s="21">
        <f>IFERROR(VLOOKUP(RIT_FUSIONS[[#This Row],[ID]],RIT_ACUM!A:A,1,0),"NOVO")</f>
        <v>46151</v>
      </c>
    </row>
    <row r="709" spans="1:4" hidden="1" x14ac:dyDescent="0.35">
      <c r="A709" s="1">
        <v>46144</v>
      </c>
      <c r="B709" s="2">
        <v>46279</v>
      </c>
      <c r="C709" s="21" t="s">
        <v>19</v>
      </c>
      <c r="D709" s="21">
        <f>IFERROR(VLOOKUP(RIT_FUSIONS[[#This Row],[ID]],RIT_ACUM!A:A,1,0),"NOVO")</f>
        <v>46144</v>
      </c>
    </row>
    <row r="710" spans="1:4" hidden="1" x14ac:dyDescent="0.35">
      <c r="A710" s="1">
        <v>46143</v>
      </c>
      <c r="B710" s="2">
        <v>46279</v>
      </c>
      <c r="C710" s="21" t="s">
        <v>19</v>
      </c>
      <c r="D710" s="21">
        <f>IFERROR(VLOOKUP(RIT_FUSIONS[[#This Row],[ID]],RIT_ACUM!A:A,1,0),"NOVO")</f>
        <v>46143</v>
      </c>
    </row>
    <row r="711" spans="1:4" hidden="1" x14ac:dyDescent="0.35">
      <c r="A711" s="1">
        <v>46142</v>
      </c>
      <c r="B711" s="2">
        <v>46279</v>
      </c>
      <c r="C711" s="21" t="s">
        <v>19</v>
      </c>
      <c r="D711" s="21">
        <f>IFERROR(VLOOKUP(RIT_FUSIONS[[#This Row],[ID]],RIT_ACUM!A:A,1,0),"NOVO")</f>
        <v>46142</v>
      </c>
    </row>
    <row r="712" spans="1:4" hidden="1" x14ac:dyDescent="0.35">
      <c r="A712" s="1">
        <v>46141</v>
      </c>
      <c r="B712" s="2">
        <v>46279</v>
      </c>
      <c r="C712" s="21" t="s">
        <v>19</v>
      </c>
      <c r="D712" s="21">
        <f>IFERROR(VLOOKUP(RIT_FUSIONS[[#This Row],[ID]],RIT_ACUM!A:A,1,0),"NOVO")</f>
        <v>46141</v>
      </c>
    </row>
    <row r="713" spans="1:4" hidden="1" x14ac:dyDescent="0.35">
      <c r="A713" s="1">
        <v>46140</v>
      </c>
      <c r="B713" s="2">
        <v>46279</v>
      </c>
      <c r="C713" s="21" t="s">
        <v>19</v>
      </c>
      <c r="D713" s="21">
        <f>IFERROR(VLOOKUP(RIT_FUSIONS[[#This Row],[ID]],RIT_ACUM!A:A,1,0),"NOVO")</f>
        <v>46140</v>
      </c>
    </row>
    <row r="714" spans="1:4" hidden="1" x14ac:dyDescent="0.35">
      <c r="A714" s="1">
        <v>46139</v>
      </c>
      <c r="B714" s="2">
        <v>46279</v>
      </c>
      <c r="C714" s="21" t="s">
        <v>19</v>
      </c>
      <c r="D714" s="21">
        <f>IFERROR(VLOOKUP(RIT_FUSIONS[[#This Row],[ID]],RIT_ACUM!A:A,1,0),"NOVO")</f>
        <v>46139</v>
      </c>
    </row>
    <row r="715" spans="1:4" hidden="1" x14ac:dyDescent="0.35">
      <c r="A715" s="1">
        <v>46138</v>
      </c>
      <c r="B715" s="2">
        <v>46279</v>
      </c>
      <c r="C715" s="21" t="s">
        <v>8</v>
      </c>
      <c r="D715" s="21">
        <f>IFERROR(VLOOKUP(RIT_FUSIONS[[#This Row],[ID]],RIT_ACUM!A:A,1,0),"NOVO")</f>
        <v>46138</v>
      </c>
    </row>
    <row r="716" spans="1:4" hidden="1" x14ac:dyDescent="0.35">
      <c r="A716" s="1">
        <v>46137</v>
      </c>
      <c r="B716" s="2">
        <v>46279</v>
      </c>
      <c r="C716" s="21" t="s">
        <v>8</v>
      </c>
      <c r="D716" s="21">
        <f>IFERROR(VLOOKUP(RIT_FUSIONS[[#This Row],[ID]],RIT_ACUM!A:A,1,0),"NOVO")</f>
        <v>46137</v>
      </c>
    </row>
    <row r="717" spans="1:4" hidden="1" x14ac:dyDescent="0.35">
      <c r="A717" s="1">
        <v>46136</v>
      </c>
      <c r="B717" s="2">
        <v>46278</v>
      </c>
      <c r="C717" s="21" t="s">
        <v>17</v>
      </c>
      <c r="D717" s="21">
        <f>IFERROR(VLOOKUP(RIT_FUSIONS[[#This Row],[ID]],RIT_ACUM!A:A,1,0),"NOVO")</f>
        <v>46136</v>
      </c>
    </row>
    <row r="718" spans="1:4" hidden="1" x14ac:dyDescent="0.35">
      <c r="A718" s="1">
        <v>46135</v>
      </c>
      <c r="B718" s="2">
        <v>46278</v>
      </c>
      <c r="C718" s="21" t="s">
        <v>17</v>
      </c>
      <c r="D718" s="21">
        <f>IFERROR(VLOOKUP(RIT_FUSIONS[[#This Row],[ID]],RIT_ACUM!A:A,1,0),"NOVO")</f>
        <v>46135</v>
      </c>
    </row>
    <row r="719" spans="1:4" hidden="1" x14ac:dyDescent="0.35">
      <c r="A719" s="1">
        <v>46134</v>
      </c>
      <c r="B719" s="2">
        <v>46278</v>
      </c>
      <c r="C719" s="21" t="s">
        <v>17</v>
      </c>
      <c r="D719" s="21">
        <f>IFERROR(VLOOKUP(RIT_FUSIONS[[#This Row],[ID]],RIT_ACUM!A:A,1,0),"NOVO")</f>
        <v>46134</v>
      </c>
    </row>
    <row r="720" spans="1:4" hidden="1" x14ac:dyDescent="0.35">
      <c r="A720" s="1">
        <v>46133</v>
      </c>
      <c r="B720" s="2">
        <v>46277</v>
      </c>
      <c r="C720" s="21" t="s">
        <v>23</v>
      </c>
      <c r="D720" s="21">
        <f>IFERROR(VLOOKUP(RIT_FUSIONS[[#This Row],[ID]],RIT_ACUM!A:A,1,0),"NOVO")</f>
        <v>46133</v>
      </c>
    </row>
    <row r="721" spans="1:4" hidden="1" x14ac:dyDescent="0.35">
      <c r="A721" s="1">
        <v>46132</v>
      </c>
      <c r="B721" s="2">
        <v>46277</v>
      </c>
      <c r="C721" s="21" t="s">
        <v>23</v>
      </c>
      <c r="D721" s="21">
        <f>IFERROR(VLOOKUP(RIT_FUSIONS[[#This Row],[ID]],RIT_ACUM!A:A,1,0),"NOVO")</f>
        <v>46132</v>
      </c>
    </row>
    <row r="722" spans="1:4" hidden="1" x14ac:dyDescent="0.35">
      <c r="A722" s="1">
        <v>46131</v>
      </c>
      <c r="B722" s="2">
        <v>46277</v>
      </c>
      <c r="C722" s="21" t="s">
        <v>6</v>
      </c>
      <c r="D722" s="21">
        <f>IFERROR(VLOOKUP(RIT_FUSIONS[[#This Row],[ID]],RIT_ACUM!A:A,1,0),"NOVO")</f>
        <v>46131</v>
      </c>
    </row>
    <row r="723" spans="1:4" hidden="1" x14ac:dyDescent="0.35">
      <c r="A723" s="1">
        <v>46130</v>
      </c>
      <c r="B723" s="2">
        <v>46277</v>
      </c>
      <c r="C723" s="21" t="s">
        <v>6</v>
      </c>
      <c r="D723" s="21">
        <f>IFERROR(VLOOKUP(RIT_FUSIONS[[#This Row],[ID]],RIT_ACUM!A:A,1,0),"NOVO")</f>
        <v>46130</v>
      </c>
    </row>
    <row r="724" spans="1:4" hidden="1" x14ac:dyDescent="0.35">
      <c r="A724" s="1">
        <v>46129</v>
      </c>
      <c r="B724" s="2">
        <v>46276</v>
      </c>
      <c r="C724" s="21" t="s">
        <v>10</v>
      </c>
      <c r="D724" s="21">
        <f>IFERROR(VLOOKUP(RIT_FUSIONS[[#This Row],[ID]],RIT_ACUM!A:A,1,0),"NOVO")</f>
        <v>46129</v>
      </c>
    </row>
    <row r="725" spans="1:4" hidden="1" x14ac:dyDescent="0.35">
      <c r="A725" s="1">
        <v>46128</v>
      </c>
      <c r="B725" s="2">
        <v>46276</v>
      </c>
      <c r="C725" s="21" t="s">
        <v>10</v>
      </c>
      <c r="D725" s="21">
        <f>IFERROR(VLOOKUP(RIT_FUSIONS[[#This Row],[ID]],RIT_ACUM!A:A,1,0),"NOVO")</f>
        <v>46128</v>
      </c>
    </row>
    <row r="726" spans="1:4" hidden="1" x14ac:dyDescent="0.35">
      <c r="A726" s="1">
        <v>46127</v>
      </c>
      <c r="B726" s="2">
        <v>46276</v>
      </c>
      <c r="C726" s="21" t="s">
        <v>15</v>
      </c>
      <c r="D726" s="21">
        <f>IFERROR(VLOOKUP(RIT_FUSIONS[[#This Row],[ID]],RIT_ACUM!A:A,1,0),"NOVO")</f>
        <v>46127</v>
      </c>
    </row>
    <row r="727" spans="1:4" hidden="1" x14ac:dyDescent="0.35">
      <c r="A727" s="1">
        <v>46126</v>
      </c>
      <c r="B727" s="2">
        <v>46276</v>
      </c>
      <c r="C727" s="21" t="s">
        <v>23</v>
      </c>
      <c r="D727" s="21">
        <f>IFERROR(VLOOKUP(RIT_FUSIONS[[#This Row],[ID]],RIT_ACUM!A:A,1,0),"NOVO")</f>
        <v>46126</v>
      </c>
    </row>
    <row r="728" spans="1:4" hidden="1" x14ac:dyDescent="0.35">
      <c r="A728" s="1">
        <v>46125</v>
      </c>
      <c r="B728" s="2">
        <v>46276</v>
      </c>
      <c r="C728" s="21" t="s">
        <v>23</v>
      </c>
      <c r="D728" s="21">
        <f>IFERROR(VLOOKUP(RIT_FUSIONS[[#This Row],[ID]],RIT_ACUM!A:A,1,0),"NOVO")</f>
        <v>46125</v>
      </c>
    </row>
    <row r="729" spans="1:4" hidden="1" x14ac:dyDescent="0.35">
      <c r="A729" s="1">
        <v>46124</v>
      </c>
      <c r="B729" s="2">
        <v>46276</v>
      </c>
      <c r="C729" s="21" t="s">
        <v>24</v>
      </c>
      <c r="D729" s="21">
        <f>IFERROR(VLOOKUP(RIT_FUSIONS[[#This Row],[ID]],RIT_ACUM!A:A,1,0),"NOVO")</f>
        <v>46124</v>
      </c>
    </row>
    <row r="730" spans="1:4" hidden="1" x14ac:dyDescent="0.35">
      <c r="A730" s="1">
        <v>46123</v>
      </c>
      <c r="B730" s="2">
        <v>46276</v>
      </c>
      <c r="C730" s="21" t="s">
        <v>3</v>
      </c>
      <c r="D730" s="21">
        <f>IFERROR(VLOOKUP(RIT_FUSIONS[[#This Row],[ID]],RIT_ACUM!A:A,1,0),"NOVO")</f>
        <v>46123</v>
      </c>
    </row>
    <row r="731" spans="1:4" hidden="1" x14ac:dyDescent="0.35">
      <c r="A731" s="1">
        <v>46122</v>
      </c>
      <c r="B731" s="2">
        <v>46276</v>
      </c>
      <c r="C731" s="21" t="s">
        <v>9</v>
      </c>
      <c r="D731" s="21">
        <f>IFERROR(VLOOKUP(RIT_FUSIONS[[#This Row],[ID]],RIT_ACUM!A:A,1,0),"NOVO")</f>
        <v>46122</v>
      </c>
    </row>
    <row r="732" spans="1:4" hidden="1" x14ac:dyDescent="0.35">
      <c r="A732" s="1">
        <v>46121</v>
      </c>
      <c r="B732" s="2">
        <v>46276</v>
      </c>
      <c r="C732" s="21" t="s">
        <v>9</v>
      </c>
      <c r="D732" s="21">
        <f>IFERROR(VLOOKUP(RIT_FUSIONS[[#This Row],[ID]],RIT_ACUM!A:A,1,0),"NOVO")</f>
        <v>46121</v>
      </c>
    </row>
    <row r="733" spans="1:4" hidden="1" x14ac:dyDescent="0.35">
      <c r="A733" s="1">
        <v>46120</v>
      </c>
      <c r="B733" s="2">
        <v>46276</v>
      </c>
      <c r="C733" s="21" t="s">
        <v>9</v>
      </c>
      <c r="D733" s="21">
        <f>IFERROR(VLOOKUP(RIT_FUSIONS[[#This Row],[ID]],RIT_ACUM!A:A,1,0),"NOVO")</f>
        <v>46120</v>
      </c>
    </row>
    <row r="734" spans="1:4" hidden="1" x14ac:dyDescent="0.35">
      <c r="A734" s="1">
        <v>46118</v>
      </c>
      <c r="B734" s="2">
        <v>46276</v>
      </c>
      <c r="C734" s="21" t="s">
        <v>9</v>
      </c>
      <c r="D734" s="21">
        <f>IFERROR(VLOOKUP(RIT_FUSIONS[[#This Row],[ID]],RIT_ACUM!A:A,1,0),"NOVO")</f>
        <v>46118</v>
      </c>
    </row>
    <row r="735" spans="1:4" hidden="1" x14ac:dyDescent="0.35">
      <c r="A735" s="1">
        <v>46117</v>
      </c>
      <c r="B735" s="2">
        <v>46276</v>
      </c>
      <c r="C735" s="21" t="s">
        <v>9</v>
      </c>
      <c r="D735" s="21">
        <f>IFERROR(VLOOKUP(RIT_FUSIONS[[#This Row],[ID]],RIT_ACUM!A:A,1,0),"NOVO")</f>
        <v>46117</v>
      </c>
    </row>
    <row r="736" spans="1:4" hidden="1" x14ac:dyDescent="0.35">
      <c r="A736" s="1">
        <v>46116</v>
      </c>
      <c r="B736" s="2">
        <v>46276</v>
      </c>
      <c r="C736" s="21" t="s">
        <v>28</v>
      </c>
      <c r="D736" s="21">
        <f>IFERROR(VLOOKUP(RIT_FUSIONS[[#This Row],[ID]],RIT_ACUM!A:A,1,0),"NOVO")</f>
        <v>46116</v>
      </c>
    </row>
    <row r="737" spans="1:4" hidden="1" x14ac:dyDescent="0.35">
      <c r="A737" s="1">
        <v>46115</v>
      </c>
      <c r="B737" s="2">
        <v>46276</v>
      </c>
      <c r="C737" s="21" t="s">
        <v>28</v>
      </c>
      <c r="D737" s="21">
        <f>IFERROR(VLOOKUP(RIT_FUSIONS[[#This Row],[ID]],RIT_ACUM!A:A,1,0),"NOVO")</f>
        <v>46115</v>
      </c>
    </row>
    <row r="738" spans="1:4" hidden="1" x14ac:dyDescent="0.35">
      <c r="A738" s="1">
        <v>46114</v>
      </c>
      <c r="B738" s="2">
        <v>46276</v>
      </c>
      <c r="C738" s="21" t="s">
        <v>28</v>
      </c>
      <c r="D738" s="21">
        <f>IFERROR(VLOOKUP(RIT_FUSIONS[[#This Row],[ID]],RIT_ACUM!A:A,1,0),"NOVO")</f>
        <v>46114</v>
      </c>
    </row>
    <row r="739" spans="1:4" hidden="1" x14ac:dyDescent="0.35">
      <c r="A739" s="1">
        <v>46113</v>
      </c>
      <c r="B739" s="2">
        <v>46276</v>
      </c>
      <c r="C739" s="21" t="s">
        <v>28</v>
      </c>
      <c r="D739" s="21">
        <f>IFERROR(VLOOKUP(RIT_FUSIONS[[#This Row],[ID]],RIT_ACUM!A:A,1,0),"NOVO")</f>
        <v>46113</v>
      </c>
    </row>
    <row r="740" spans="1:4" hidden="1" x14ac:dyDescent="0.35">
      <c r="A740" s="1">
        <v>46112</v>
      </c>
      <c r="B740" s="2">
        <v>46276</v>
      </c>
      <c r="C740" s="21" t="s">
        <v>28</v>
      </c>
      <c r="D740" s="21">
        <f>IFERROR(VLOOKUP(RIT_FUSIONS[[#This Row],[ID]],RIT_ACUM!A:A,1,0),"NOVO")</f>
        <v>46112</v>
      </c>
    </row>
    <row r="741" spans="1:4" hidden="1" x14ac:dyDescent="0.35">
      <c r="A741" s="1">
        <v>46111</v>
      </c>
      <c r="B741" s="2">
        <v>46276</v>
      </c>
      <c r="C741" s="21" t="s">
        <v>24</v>
      </c>
      <c r="D741" s="21">
        <f>IFERROR(VLOOKUP(RIT_FUSIONS[[#This Row],[ID]],RIT_ACUM!A:A,1,0),"NOVO")</f>
        <v>46111</v>
      </c>
    </row>
    <row r="742" spans="1:4" hidden="1" x14ac:dyDescent="0.35">
      <c r="A742" s="1">
        <v>46110</v>
      </c>
      <c r="B742" s="2">
        <v>46276</v>
      </c>
      <c r="C742" s="21" t="s">
        <v>24</v>
      </c>
      <c r="D742" s="21">
        <f>IFERROR(VLOOKUP(RIT_FUSIONS[[#This Row],[ID]],RIT_ACUM!A:A,1,0),"NOVO")</f>
        <v>46110</v>
      </c>
    </row>
    <row r="743" spans="1:4" hidden="1" x14ac:dyDescent="0.35">
      <c r="A743" s="1">
        <v>46109</v>
      </c>
      <c r="B743" s="2">
        <v>46276</v>
      </c>
      <c r="C743" s="21" t="s">
        <v>24</v>
      </c>
      <c r="D743" s="21">
        <f>IFERROR(VLOOKUP(RIT_FUSIONS[[#This Row],[ID]],RIT_ACUM!A:A,1,0),"NOVO")</f>
        <v>46109</v>
      </c>
    </row>
    <row r="744" spans="1:4" hidden="1" x14ac:dyDescent="0.35">
      <c r="A744" s="1">
        <v>46108</v>
      </c>
      <c r="B744" s="2">
        <v>46276</v>
      </c>
      <c r="C744" s="21" t="s">
        <v>24</v>
      </c>
      <c r="D744" s="21">
        <f>IFERROR(VLOOKUP(RIT_FUSIONS[[#This Row],[ID]],RIT_ACUM!A:A,1,0),"NOVO")</f>
        <v>46108</v>
      </c>
    </row>
    <row r="745" spans="1:4" hidden="1" x14ac:dyDescent="0.35">
      <c r="A745" s="1">
        <v>46107</v>
      </c>
      <c r="B745" s="2">
        <v>46276</v>
      </c>
      <c r="C745" s="21" t="s">
        <v>6</v>
      </c>
      <c r="D745" s="21">
        <f>IFERROR(VLOOKUP(RIT_FUSIONS[[#This Row],[ID]],RIT_ACUM!A:A,1,0),"NOVO")</f>
        <v>46107</v>
      </c>
    </row>
    <row r="746" spans="1:4" hidden="1" x14ac:dyDescent="0.35">
      <c r="A746" s="1">
        <v>46106</v>
      </c>
      <c r="B746" s="2">
        <v>46276</v>
      </c>
      <c r="C746" s="21" t="s">
        <v>6</v>
      </c>
      <c r="D746" s="21">
        <f>IFERROR(VLOOKUP(RIT_FUSIONS[[#This Row],[ID]],RIT_ACUM!A:A,1,0),"NOVO")</f>
        <v>46106</v>
      </c>
    </row>
    <row r="747" spans="1:4" hidden="1" x14ac:dyDescent="0.35">
      <c r="A747" s="1">
        <v>46105</v>
      </c>
      <c r="B747" s="2">
        <v>46276</v>
      </c>
      <c r="C747" s="21" t="s">
        <v>6</v>
      </c>
      <c r="D747" s="21">
        <f>IFERROR(VLOOKUP(RIT_FUSIONS[[#This Row],[ID]],RIT_ACUM!A:A,1,0),"NOVO")</f>
        <v>46105</v>
      </c>
    </row>
    <row r="748" spans="1:4" hidden="1" x14ac:dyDescent="0.35">
      <c r="A748" s="1">
        <v>46103</v>
      </c>
      <c r="B748" s="2">
        <v>46276</v>
      </c>
      <c r="C748" s="21" t="s">
        <v>3</v>
      </c>
      <c r="D748" s="21">
        <f>IFERROR(VLOOKUP(RIT_FUSIONS[[#This Row],[ID]],RIT_ACUM!A:A,1,0),"NOVO")</f>
        <v>46103</v>
      </c>
    </row>
    <row r="749" spans="1:4" hidden="1" x14ac:dyDescent="0.35">
      <c r="A749" s="1">
        <v>46102</v>
      </c>
      <c r="B749" s="2">
        <v>46276</v>
      </c>
      <c r="C749" s="21" t="s">
        <v>3</v>
      </c>
      <c r="D749" s="21">
        <f>IFERROR(VLOOKUP(RIT_FUSIONS[[#This Row],[ID]],RIT_ACUM!A:A,1,0),"NOVO")</f>
        <v>46102</v>
      </c>
    </row>
    <row r="750" spans="1:4" hidden="1" x14ac:dyDescent="0.35">
      <c r="A750" s="1">
        <v>46101</v>
      </c>
      <c r="B750" s="2">
        <v>46276</v>
      </c>
      <c r="C750" s="21" t="s">
        <v>3</v>
      </c>
      <c r="D750" s="21">
        <f>IFERROR(VLOOKUP(RIT_FUSIONS[[#This Row],[ID]],RIT_ACUM!A:A,1,0),"NOVO")</f>
        <v>46101</v>
      </c>
    </row>
    <row r="751" spans="1:4" hidden="1" x14ac:dyDescent="0.35">
      <c r="A751" s="1">
        <v>46100</v>
      </c>
      <c r="B751" s="2">
        <v>46276</v>
      </c>
      <c r="C751" s="21" t="s">
        <v>7</v>
      </c>
      <c r="D751" s="21">
        <f>IFERROR(VLOOKUP(RIT_FUSIONS[[#This Row],[ID]],RIT_ACUM!A:A,1,0),"NOVO")</f>
        <v>46100</v>
      </c>
    </row>
    <row r="752" spans="1:4" hidden="1" x14ac:dyDescent="0.35">
      <c r="A752" s="1">
        <v>46098</v>
      </c>
      <c r="B752" s="2">
        <v>46276</v>
      </c>
      <c r="C752" s="21" t="s">
        <v>4</v>
      </c>
      <c r="D752" s="21">
        <f>IFERROR(VLOOKUP(RIT_FUSIONS[[#This Row],[ID]],RIT_ACUM!A:A,1,0),"NOVO")</f>
        <v>46098</v>
      </c>
    </row>
    <row r="753" spans="1:4" hidden="1" x14ac:dyDescent="0.35">
      <c r="A753" s="1">
        <v>46097</v>
      </c>
      <c r="B753" s="2">
        <v>46276</v>
      </c>
      <c r="C753" s="21" t="s">
        <v>17</v>
      </c>
      <c r="D753" s="21">
        <f>IFERROR(VLOOKUP(RIT_FUSIONS[[#This Row],[ID]],RIT_ACUM!A:A,1,0),"NOVO")</f>
        <v>46097</v>
      </c>
    </row>
    <row r="754" spans="1:4" hidden="1" x14ac:dyDescent="0.35">
      <c r="A754" s="1">
        <v>46096</v>
      </c>
      <c r="B754" s="2">
        <v>46276</v>
      </c>
      <c r="C754" s="21" t="s">
        <v>4</v>
      </c>
      <c r="D754" s="21">
        <f>IFERROR(VLOOKUP(RIT_FUSIONS[[#This Row],[ID]],RIT_ACUM!A:A,1,0),"NOVO")</f>
        <v>46096</v>
      </c>
    </row>
    <row r="755" spans="1:4" hidden="1" x14ac:dyDescent="0.35">
      <c r="A755" s="1">
        <v>46095</v>
      </c>
      <c r="B755" s="2">
        <v>46276</v>
      </c>
      <c r="C755" s="21" t="s">
        <v>17</v>
      </c>
      <c r="D755" s="21">
        <f>IFERROR(VLOOKUP(RIT_FUSIONS[[#This Row],[ID]],RIT_ACUM!A:A,1,0),"NOVO")</f>
        <v>46095</v>
      </c>
    </row>
    <row r="756" spans="1:4" hidden="1" x14ac:dyDescent="0.35">
      <c r="A756" s="1">
        <v>46091</v>
      </c>
      <c r="B756" s="2">
        <v>46276</v>
      </c>
      <c r="C756" s="21" t="s">
        <v>15</v>
      </c>
      <c r="D756" s="21">
        <f>IFERROR(VLOOKUP(RIT_FUSIONS[[#This Row],[ID]],RIT_ACUM!A:A,1,0),"NOVO")</f>
        <v>46091</v>
      </c>
    </row>
    <row r="757" spans="1:4" hidden="1" x14ac:dyDescent="0.35">
      <c r="A757" s="1">
        <v>46089</v>
      </c>
      <c r="B757" s="2">
        <v>46276</v>
      </c>
      <c r="C757" s="21" t="s">
        <v>8</v>
      </c>
      <c r="D757" s="21">
        <f>IFERROR(VLOOKUP(RIT_FUSIONS[[#This Row],[ID]],RIT_ACUM!A:A,1,0),"NOVO")</f>
        <v>46089</v>
      </c>
    </row>
    <row r="758" spans="1:4" hidden="1" x14ac:dyDescent="0.35">
      <c r="A758" s="1">
        <v>46088</v>
      </c>
      <c r="B758" s="2">
        <v>46276</v>
      </c>
      <c r="C758" s="21" t="s">
        <v>8</v>
      </c>
      <c r="D758" s="21">
        <f>IFERROR(VLOOKUP(RIT_FUSIONS[[#This Row],[ID]],RIT_ACUM!A:A,1,0),"NOVO")</f>
        <v>46088</v>
      </c>
    </row>
    <row r="759" spans="1:4" hidden="1" x14ac:dyDescent="0.35">
      <c r="A759" s="1">
        <v>46087</v>
      </c>
      <c r="B759" s="2">
        <v>46276</v>
      </c>
      <c r="C759" s="21" t="s">
        <v>4</v>
      </c>
      <c r="D759" s="21">
        <f>IFERROR(VLOOKUP(RIT_FUSIONS[[#This Row],[ID]],RIT_ACUM!A:A,1,0),"NOVO")</f>
        <v>46087</v>
      </c>
    </row>
    <row r="760" spans="1:4" hidden="1" x14ac:dyDescent="0.35">
      <c r="A760" s="1">
        <v>46086</v>
      </c>
      <c r="B760" s="2">
        <v>46275</v>
      </c>
      <c r="C760" s="21" t="s">
        <v>16</v>
      </c>
      <c r="D760" s="21">
        <f>IFERROR(VLOOKUP(RIT_FUSIONS[[#This Row],[ID]],RIT_ACUM!A:A,1,0),"NOVO")</f>
        <v>46086</v>
      </c>
    </row>
    <row r="761" spans="1:4" hidden="1" x14ac:dyDescent="0.35">
      <c r="A761" s="1">
        <v>46085</v>
      </c>
      <c r="B761" s="2">
        <v>46275</v>
      </c>
      <c r="C761" s="21" t="s">
        <v>16</v>
      </c>
      <c r="D761" s="21">
        <f>IFERROR(VLOOKUP(RIT_FUSIONS[[#This Row],[ID]],RIT_ACUM!A:A,1,0),"NOVO")</f>
        <v>46085</v>
      </c>
    </row>
    <row r="762" spans="1:4" hidden="1" x14ac:dyDescent="0.35">
      <c r="A762" s="1">
        <v>46084</v>
      </c>
      <c r="B762" s="2">
        <v>46275</v>
      </c>
      <c r="C762" s="21" t="s">
        <v>9</v>
      </c>
      <c r="D762" s="21">
        <f>IFERROR(VLOOKUP(RIT_FUSIONS[[#This Row],[ID]],RIT_ACUM!A:A,1,0),"NOVO")</f>
        <v>46084</v>
      </c>
    </row>
    <row r="763" spans="1:4" hidden="1" x14ac:dyDescent="0.35">
      <c r="A763" s="1">
        <v>46083</v>
      </c>
      <c r="B763" s="2">
        <v>46275</v>
      </c>
      <c r="C763" s="21" t="s">
        <v>9</v>
      </c>
      <c r="D763" s="21">
        <f>IFERROR(VLOOKUP(RIT_FUSIONS[[#This Row],[ID]],RIT_ACUM!A:A,1,0),"NOVO")</f>
        <v>46083</v>
      </c>
    </row>
    <row r="764" spans="1:4" hidden="1" x14ac:dyDescent="0.35">
      <c r="A764" s="1">
        <v>46082</v>
      </c>
      <c r="B764" s="2">
        <v>46275</v>
      </c>
      <c r="C764" s="21" t="s">
        <v>9</v>
      </c>
      <c r="D764" s="21">
        <f>IFERROR(VLOOKUP(RIT_FUSIONS[[#This Row],[ID]],RIT_ACUM!A:A,1,0),"NOVO")</f>
        <v>46082</v>
      </c>
    </row>
    <row r="765" spans="1:4" hidden="1" x14ac:dyDescent="0.35">
      <c r="A765" s="1">
        <v>46081</v>
      </c>
      <c r="B765" s="2">
        <v>46275</v>
      </c>
      <c r="C765" s="21" t="s">
        <v>9</v>
      </c>
      <c r="D765" s="21">
        <f>IFERROR(VLOOKUP(RIT_FUSIONS[[#This Row],[ID]],RIT_ACUM!A:A,1,0),"NOVO")</f>
        <v>46081</v>
      </c>
    </row>
    <row r="766" spans="1:4" hidden="1" x14ac:dyDescent="0.35">
      <c r="A766" s="1">
        <v>46075</v>
      </c>
      <c r="B766" s="2">
        <v>46275</v>
      </c>
      <c r="C766" s="21" t="s">
        <v>3</v>
      </c>
      <c r="D766" s="21">
        <f>IFERROR(VLOOKUP(RIT_FUSIONS[[#This Row],[ID]],RIT_ACUM!A:A,1,0),"NOVO")</f>
        <v>46075</v>
      </c>
    </row>
    <row r="767" spans="1:4" hidden="1" x14ac:dyDescent="0.35">
      <c r="A767" s="1">
        <v>46074</v>
      </c>
      <c r="B767" s="2">
        <v>46275</v>
      </c>
      <c r="C767" s="21" t="s">
        <v>3</v>
      </c>
      <c r="D767" s="21">
        <f>IFERROR(VLOOKUP(RIT_FUSIONS[[#This Row],[ID]],RIT_ACUM!A:A,1,0),"NOVO")</f>
        <v>46074</v>
      </c>
    </row>
    <row r="768" spans="1:4" hidden="1" x14ac:dyDescent="0.35">
      <c r="A768" s="1">
        <v>46073</v>
      </c>
      <c r="B768" s="2">
        <v>46275</v>
      </c>
      <c r="C768" s="21" t="s">
        <v>24</v>
      </c>
      <c r="D768" s="21">
        <f>IFERROR(VLOOKUP(RIT_FUSIONS[[#This Row],[ID]],RIT_ACUM!A:A,1,0),"NOVO")</f>
        <v>46073</v>
      </c>
    </row>
    <row r="769" spans="1:4" hidden="1" x14ac:dyDescent="0.35">
      <c r="A769" s="1">
        <v>46072</v>
      </c>
      <c r="B769" s="2">
        <v>46275</v>
      </c>
      <c r="C769" s="21" t="s">
        <v>24</v>
      </c>
      <c r="D769" s="21">
        <f>IFERROR(VLOOKUP(RIT_FUSIONS[[#This Row],[ID]],RIT_ACUM!A:A,1,0),"NOVO")</f>
        <v>46072</v>
      </c>
    </row>
    <row r="770" spans="1:4" hidden="1" x14ac:dyDescent="0.35">
      <c r="A770" s="1">
        <v>46071</v>
      </c>
      <c r="B770" s="2">
        <v>46275</v>
      </c>
      <c r="C770" s="21" t="s">
        <v>24</v>
      </c>
      <c r="D770" s="21">
        <f>IFERROR(VLOOKUP(RIT_FUSIONS[[#This Row],[ID]],RIT_ACUM!A:A,1,0),"NOVO")</f>
        <v>46071</v>
      </c>
    </row>
    <row r="771" spans="1:4" hidden="1" x14ac:dyDescent="0.35">
      <c r="A771" s="1">
        <v>46070</v>
      </c>
      <c r="B771" s="2">
        <v>46275</v>
      </c>
      <c r="C771" s="21" t="s">
        <v>24</v>
      </c>
      <c r="D771" s="21">
        <f>IFERROR(VLOOKUP(RIT_FUSIONS[[#This Row],[ID]],RIT_ACUM!A:A,1,0),"NOVO")</f>
        <v>46070</v>
      </c>
    </row>
    <row r="772" spans="1:4" hidden="1" x14ac:dyDescent="0.35">
      <c r="A772" s="1">
        <v>46069</v>
      </c>
      <c r="B772" s="2">
        <v>46275</v>
      </c>
      <c r="C772" s="21" t="s">
        <v>24</v>
      </c>
      <c r="D772" s="21">
        <f>IFERROR(VLOOKUP(RIT_FUSIONS[[#This Row],[ID]],RIT_ACUM!A:A,1,0),"NOVO")</f>
        <v>46069</v>
      </c>
    </row>
    <row r="773" spans="1:4" hidden="1" x14ac:dyDescent="0.35">
      <c r="A773" s="1">
        <v>46068</v>
      </c>
      <c r="B773" s="2">
        <v>46275</v>
      </c>
      <c r="C773" s="21" t="s">
        <v>24</v>
      </c>
      <c r="D773" s="21">
        <f>IFERROR(VLOOKUP(RIT_FUSIONS[[#This Row],[ID]],RIT_ACUM!A:A,1,0),"NOVO")</f>
        <v>46068</v>
      </c>
    </row>
    <row r="774" spans="1:4" hidden="1" x14ac:dyDescent="0.35">
      <c r="A774" s="1">
        <v>46067</v>
      </c>
      <c r="B774" s="2">
        <v>46275</v>
      </c>
      <c r="C774" s="21" t="s">
        <v>24</v>
      </c>
      <c r="D774" s="21">
        <f>IFERROR(VLOOKUP(RIT_FUSIONS[[#This Row],[ID]],RIT_ACUM!A:A,1,0),"NOVO")</f>
        <v>46067</v>
      </c>
    </row>
    <row r="775" spans="1:4" hidden="1" x14ac:dyDescent="0.35">
      <c r="A775" s="1">
        <v>46066</v>
      </c>
      <c r="B775" s="2">
        <v>46275</v>
      </c>
      <c r="C775" s="21" t="s">
        <v>24</v>
      </c>
      <c r="D775" s="21">
        <f>IFERROR(VLOOKUP(RIT_FUSIONS[[#This Row],[ID]],RIT_ACUM!A:A,1,0),"NOVO")</f>
        <v>46066</v>
      </c>
    </row>
    <row r="776" spans="1:4" hidden="1" x14ac:dyDescent="0.35">
      <c r="A776" s="1">
        <v>46065</v>
      </c>
      <c r="B776" s="2">
        <v>46275</v>
      </c>
      <c r="C776" s="21" t="s">
        <v>24</v>
      </c>
      <c r="D776" s="21">
        <f>IFERROR(VLOOKUP(RIT_FUSIONS[[#This Row],[ID]],RIT_ACUM!A:A,1,0),"NOVO")</f>
        <v>46065</v>
      </c>
    </row>
    <row r="777" spans="1:4" hidden="1" x14ac:dyDescent="0.35">
      <c r="A777" s="1">
        <v>46063</v>
      </c>
      <c r="B777" s="2">
        <v>46275</v>
      </c>
      <c r="C777" s="21" t="s">
        <v>10</v>
      </c>
      <c r="D777" s="21">
        <f>IFERROR(VLOOKUP(RIT_FUSIONS[[#This Row],[ID]],RIT_ACUM!A:A,1,0),"NOVO")</f>
        <v>46063</v>
      </c>
    </row>
    <row r="778" spans="1:4" hidden="1" x14ac:dyDescent="0.35">
      <c r="A778" s="1">
        <v>46058</v>
      </c>
      <c r="B778" s="2">
        <v>46275</v>
      </c>
      <c r="C778" s="21" t="s">
        <v>7</v>
      </c>
      <c r="D778" s="21">
        <f>IFERROR(VLOOKUP(RIT_FUSIONS[[#This Row],[ID]],RIT_ACUM!A:A,1,0),"NOVO")</f>
        <v>46058</v>
      </c>
    </row>
    <row r="779" spans="1:4" hidden="1" x14ac:dyDescent="0.35">
      <c r="A779" s="1">
        <v>46057</v>
      </c>
      <c r="B779" s="2">
        <v>46275</v>
      </c>
      <c r="C779" s="21" t="s">
        <v>7</v>
      </c>
      <c r="D779" s="21">
        <f>IFERROR(VLOOKUP(RIT_FUSIONS[[#This Row],[ID]],RIT_ACUM!A:A,1,0),"NOVO")</f>
        <v>46057</v>
      </c>
    </row>
    <row r="780" spans="1:4" hidden="1" x14ac:dyDescent="0.35">
      <c r="A780" s="1">
        <v>46056</v>
      </c>
      <c r="B780" s="2">
        <v>46275</v>
      </c>
      <c r="C780" s="21" t="s">
        <v>8</v>
      </c>
      <c r="D780" s="21">
        <f>IFERROR(VLOOKUP(RIT_FUSIONS[[#This Row],[ID]],RIT_ACUM!A:A,1,0),"NOVO")</f>
        <v>46056</v>
      </c>
    </row>
    <row r="781" spans="1:4" hidden="1" x14ac:dyDescent="0.35">
      <c r="A781" s="1">
        <v>46055</v>
      </c>
      <c r="B781" s="2">
        <v>46275</v>
      </c>
      <c r="C781" s="21" t="s">
        <v>8</v>
      </c>
      <c r="D781" s="21">
        <f>IFERROR(VLOOKUP(RIT_FUSIONS[[#This Row],[ID]],RIT_ACUM!A:A,1,0),"NOVO")</f>
        <v>46055</v>
      </c>
    </row>
    <row r="782" spans="1:4" hidden="1" x14ac:dyDescent="0.35">
      <c r="A782" s="1">
        <v>46054</v>
      </c>
      <c r="B782" s="2">
        <v>46275</v>
      </c>
      <c r="C782" s="21" t="s">
        <v>15</v>
      </c>
      <c r="D782" s="21">
        <f>IFERROR(VLOOKUP(RIT_FUSIONS[[#This Row],[ID]],RIT_ACUM!A:A,1,0),"NOVO")</f>
        <v>46054</v>
      </c>
    </row>
    <row r="783" spans="1:4" hidden="1" x14ac:dyDescent="0.35">
      <c r="A783" s="1">
        <v>46053</v>
      </c>
      <c r="B783" s="2">
        <v>46275</v>
      </c>
      <c r="C783" s="21" t="s">
        <v>15</v>
      </c>
      <c r="D783" s="21">
        <f>IFERROR(VLOOKUP(RIT_FUSIONS[[#This Row],[ID]],RIT_ACUM!A:A,1,0),"NOVO")</f>
        <v>46053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63"/>
  <sheetViews>
    <sheetView showGridLines="0" topLeftCell="A2031" zoomScaleNormal="100" workbookViewId="0">
      <selection activeCell="A2043" sqref="A2043:C206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2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2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2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2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2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2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2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2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2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2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2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2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2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2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2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2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2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2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2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2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2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0"/>
  <sheetViews>
    <sheetView showGridLines="0" workbookViewId="0">
      <selection sqref="A1:D200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7604</v>
      </c>
      <c r="B2" s="3">
        <v>46315.373611111114</v>
      </c>
      <c r="C2" s="21" t="s">
        <v>9</v>
      </c>
      <c r="D2" s="21">
        <f>IFERROR(VLOOKUP(_2__Ferramental_AST[[#This Row],[ID]],CHECK_ACUM!A:A,1,0),"NOVO")</f>
        <v>7604</v>
      </c>
    </row>
    <row r="3" spans="1:4" hidden="1" x14ac:dyDescent="0.35">
      <c r="A3" s="1">
        <v>7603</v>
      </c>
      <c r="B3" s="3">
        <v>46315.359027777777</v>
      </c>
      <c r="C3" s="21" t="s">
        <v>19</v>
      </c>
      <c r="D3" s="21">
        <f>IFERROR(VLOOKUP(_2__Ferramental_AST[[#This Row],[ID]],CHECK_ACUM!A:A,1,0),"NOVO")</f>
        <v>7603</v>
      </c>
    </row>
    <row r="4" spans="1:4" hidden="1" x14ac:dyDescent="0.35">
      <c r="A4" s="1">
        <v>7602</v>
      </c>
      <c r="B4" s="3">
        <v>46314.731249999997</v>
      </c>
      <c r="C4" s="21" t="s">
        <v>3</v>
      </c>
      <c r="D4" s="21">
        <f>IFERROR(VLOOKUP(_2__Ferramental_AST[[#This Row],[ID]],CHECK_ACUM!A:A,1,0),"NOVO")</f>
        <v>7602</v>
      </c>
    </row>
    <row r="5" spans="1:4" hidden="1" x14ac:dyDescent="0.35">
      <c r="A5" s="1">
        <v>7601</v>
      </c>
      <c r="B5" s="3">
        <v>46314.697222222225</v>
      </c>
      <c r="C5" s="21" t="s">
        <v>9</v>
      </c>
      <c r="D5" s="21">
        <f>IFERROR(VLOOKUP(_2__Ferramental_AST[[#This Row],[ID]],CHECK_ACUM!A:A,1,0),"NOVO")</f>
        <v>7601</v>
      </c>
    </row>
    <row r="6" spans="1:4" hidden="1" x14ac:dyDescent="0.35">
      <c r="A6" s="1">
        <v>7600</v>
      </c>
      <c r="B6" s="3">
        <v>46314.696527777778</v>
      </c>
      <c r="C6" s="21" t="s">
        <v>9</v>
      </c>
      <c r="D6" s="21">
        <f>IFERROR(VLOOKUP(_2__Ferramental_AST[[#This Row],[ID]],CHECK_ACUM!A:A,1,0),"NOVO")</f>
        <v>7600</v>
      </c>
    </row>
    <row r="7" spans="1:4" hidden="1" x14ac:dyDescent="0.35">
      <c r="A7" s="1">
        <v>7599</v>
      </c>
      <c r="B7" s="3">
        <v>46314.584722222222</v>
      </c>
      <c r="C7" s="21" t="s">
        <v>9</v>
      </c>
      <c r="D7" s="21">
        <f>IFERROR(VLOOKUP(_2__Ferramental_AST[[#This Row],[ID]],CHECK_ACUM!A:A,1,0),"NOVO")</f>
        <v>7599</v>
      </c>
    </row>
    <row r="8" spans="1:4" hidden="1" x14ac:dyDescent="0.35">
      <c r="A8" s="1">
        <v>7598</v>
      </c>
      <c r="B8" s="3">
        <v>46314.538888888892</v>
      </c>
      <c r="C8" s="21" t="s">
        <v>5</v>
      </c>
      <c r="D8" s="21">
        <f>IFERROR(VLOOKUP(_2__Ferramental_AST[[#This Row],[ID]],CHECK_ACUM!A:A,1,0),"NOVO")</f>
        <v>7598</v>
      </c>
    </row>
    <row r="9" spans="1:4" hidden="1" x14ac:dyDescent="0.35">
      <c r="A9" s="1">
        <v>7597</v>
      </c>
      <c r="B9" s="3">
        <v>46314.538888888892</v>
      </c>
      <c r="C9" s="21" t="s">
        <v>5</v>
      </c>
      <c r="D9" s="21">
        <f>IFERROR(VLOOKUP(_2__Ferramental_AST[[#This Row],[ID]],CHECK_ACUM!A:A,1,0),"NOVO")</f>
        <v>7597</v>
      </c>
    </row>
    <row r="10" spans="1:4" hidden="1" x14ac:dyDescent="0.35">
      <c r="A10" s="1">
        <v>7596</v>
      </c>
      <c r="B10" s="3">
        <v>46314.474305555559</v>
      </c>
      <c r="C10" s="21" t="s">
        <v>9</v>
      </c>
      <c r="D10" s="21">
        <f>IFERROR(VLOOKUP(_2__Ferramental_AST[[#This Row],[ID]],CHECK_ACUM!A:A,1,0),"NOVO")</f>
        <v>7596</v>
      </c>
    </row>
    <row r="11" spans="1:4" hidden="1" x14ac:dyDescent="0.35">
      <c r="A11" s="1">
        <v>7595</v>
      </c>
      <c r="B11" s="3">
        <v>46311.754166666666</v>
      </c>
      <c r="C11" s="21" t="s">
        <v>5</v>
      </c>
      <c r="D11" s="21">
        <f>IFERROR(VLOOKUP(_2__Ferramental_AST[[#This Row],[ID]],CHECK_ACUM!A:A,1,0),"NOVO")</f>
        <v>7595</v>
      </c>
    </row>
    <row r="12" spans="1:4" hidden="1" x14ac:dyDescent="0.35">
      <c r="A12" s="1">
        <v>7594</v>
      </c>
      <c r="B12" s="3">
        <v>46311.753472222219</v>
      </c>
      <c r="C12" s="21" t="s">
        <v>5</v>
      </c>
      <c r="D12" s="21">
        <f>IFERROR(VLOOKUP(_2__Ferramental_AST[[#This Row],[ID]],CHECK_ACUM!A:A,1,0),"NOVO")</f>
        <v>7594</v>
      </c>
    </row>
    <row r="13" spans="1:4" hidden="1" x14ac:dyDescent="0.35">
      <c r="A13" s="1">
        <v>7593</v>
      </c>
      <c r="B13" s="3">
        <v>46311.75277777778</v>
      </c>
      <c r="C13" s="21" t="s">
        <v>5</v>
      </c>
      <c r="D13" s="21">
        <f>IFERROR(VLOOKUP(_2__Ferramental_AST[[#This Row],[ID]],CHECK_ACUM!A:A,1,0),"NOVO")</f>
        <v>7593</v>
      </c>
    </row>
    <row r="14" spans="1:4" hidden="1" x14ac:dyDescent="0.35">
      <c r="A14" s="1">
        <v>7592</v>
      </c>
      <c r="B14" s="3">
        <v>46311.751388888886</v>
      </c>
      <c r="C14" s="21" t="s">
        <v>5</v>
      </c>
      <c r="D14" s="21">
        <f>IFERROR(VLOOKUP(_2__Ferramental_AST[[#This Row],[ID]],CHECK_ACUM!A:A,1,0),"NOVO")</f>
        <v>7592</v>
      </c>
    </row>
    <row r="15" spans="1:4" hidden="1" x14ac:dyDescent="0.35">
      <c r="A15" s="1">
        <v>7591</v>
      </c>
      <c r="B15" s="3">
        <v>46311.75</v>
      </c>
      <c r="C15" s="21" t="s">
        <v>5</v>
      </c>
      <c r="D15" s="21">
        <f>IFERROR(VLOOKUP(_2__Ferramental_AST[[#This Row],[ID]],CHECK_ACUM!A:A,1,0),"NOVO")</f>
        <v>7591</v>
      </c>
    </row>
    <row r="16" spans="1:4" hidden="1" x14ac:dyDescent="0.35">
      <c r="A16" s="1">
        <v>7589</v>
      </c>
      <c r="B16" s="3">
        <v>46311.640277777777</v>
      </c>
      <c r="C16" s="21" t="s">
        <v>22</v>
      </c>
      <c r="D16" s="21">
        <f>IFERROR(VLOOKUP(_2__Ferramental_AST[[#This Row],[ID]],CHECK_ACUM!A:A,1,0),"NOVO")</f>
        <v>7589</v>
      </c>
    </row>
    <row r="17" spans="1:4" hidden="1" x14ac:dyDescent="0.35">
      <c r="A17" s="1">
        <v>7588</v>
      </c>
      <c r="B17" s="3">
        <v>46311.509027777778</v>
      </c>
      <c r="C17" s="21" t="s">
        <v>21</v>
      </c>
      <c r="D17" s="21">
        <f>IFERROR(VLOOKUP(_2__Ferramental_AST[[#This Row],[ID]],CHECK_ACUM!A:A,1,0),"NOVO")</f>
        <v>7588</v>
      </c>
    </row>
    <row r="18" spans="1:4" hidden="1" x14ac:dyDescent="0.35">
      <c r="A18" s="1">
        <v>7587</v>
      </c>
      <c r="B18" s="3">
        <v>46311.493055555555</v>
      </c>
      <c r="C18" s="21" t="s">
        <v>21</v>
      </c>
      <c r="D18" s="21">
        <f>IFERROR(VLOOKUP(_2__Ferramental_AST[[#This Row],[ID]],CHECK_ACUM!A:A,1,0),"NOVO")</f>
        <v>7587</v>
      </c>
    </row>
    <row r="19" spans="1:4" hidden="1" x14ac:dyDescent="0.35">
      <c r="A19" s="1">
        <v>7586</v>
      </c>
      <c r="B19" s="3">
        <v>46311.472916666666</v>
      </c>
      <c r="C19" s="21" t="s">
        <v>9</v>
      </c>
      <c r="D19" s="21">
        <f>IFERROR(VLOOKUP(_2__Ferramental_AST[[#This Row],[ID]],CHECK_ACUM!A:A,1,0),"NOVO")</f>
        <v>7586</v>
      </c>
    </row>
    <row r="20" spans="1:4" hidden="1" x14ac:dyDescent="0.35">
      <c r="A20" s="1">
        <v>7584</v>
      </c>
      <c r="B20" s="3">
        <v>46311.413194444445</v>
      </c>
      <c r="C20" s="21" t="s">
        <v>9</v>
      </c>
      <c r="D20" s="21">
        <f>IFERROR(VLOOKUP(_2__Ferramental_AST[[#This Row],[ID]],CHECK_ACUM!A:A,1,0),"NOVO")</f>
        <v>7584</v>
      </c>
    </row>
    <row r="21" spans="1:4" hidden="1" x14ac:dyDescent="0.35">
      <c r="A21" s="1">
        <v>7582</v>
      </c>
      <c r="B21" s="3">
        <v>46311.366666666669</v>
      </c>
      <c r="C21" s="21" t="s">
        <v>19</v>
      </c>
      <c r="D21" s="21">
        <f>IFERROR(VLOOKUP(_2__Ferramental_AST[[#This Row],[ID]],CHECK_ACUM!A:A,1,0),"NOVO")</f>
        <v>7582</v>
      </c>
    </row>
    <row r="22" spans="1:4" hidden="1" x14ac:dyDescent="0.35">
      <c r="A22" s="1">
        <v>7581</v>
      </c>
      <c r="B22" s="3">
        <v>46310.748611111114</v>
      </c>
      <c r="C22" s="21" t="s">
        <v>5</v>
      </c>
      <c r="D22" s="21">
        <f>IFERROR(VLOOKUP(_2__Ferramental_AST[[#This Row],[ID]],CHECK_ACUM!A:A,1,0),"NOVO")</f>
        <v>7581</v>
      </c>
    </row>
    <row r="23" spans="1:4" hidden="1" x14ac:dyDescent="0.35">
      <c r="A23" s="1">
        <v>7580</v>
      </c>
      <c r="B23" s="3">
        <v>46310.746527777781</v>
      </c>
      <c r="C23" s="21" t="s">
        <v>5</v>
      </c>
      <c r="D23" s="21">
        <f>IFERROR(VLOOKUP(_2__Ferramental_AST[[#This Row],[ID]],CHECK_ACUM!A:A,1,0),"NOVO")</f>
        <v>7580</v>
      </c>
    </row>
    <row r="24" spans="1:4" hidden="1" x14ac:dyDescent="0.35">
      <c r="A24" s="1">
        <v>7578</v>
      </c>
      <c r="B24" s="3">
        <v>46310.652083333334</v>
      </c>
      <c r="C24" s="21" t="s">
        <v>5</v>
      </c>
      <c r="D24" s="21">
        <f>IFERROR(VLOOKUP(_2__Ferramental_AST[[#This Row],[ID]],CHECK_ACUM!A:A,1,0),"NOVO")</f>
        <v>7578</v>
      </c>
    </row>
    <row r="25" spans="1:4" hidden="1" x14ac:dyDescent="0.35">
      <c r="A25" s="1">
        <v>7577</v>
      </c>
      <c r="B25" s="3">
        <v>46310.650694444441</v>
      </c>
      <c r="C25" s="21" t="s">
        <v>5</v>
      </c>
      <c r="D25" s="21">
        <f>IFERROR(VLOOKUP(_2__Ferramental_AST[[#This Row],[ID]],CHECK_ACUM!A:A,1,0),"NOVO")</f>
        <v>7577</v>
      </c>
    </row>
    <row r="26" spans="1:4" hidden="1" x14ac:dyDescent="0.35">
      <c r="A26" s="1">
        <v>7576</v>
      </c>
      <c r="B26" s="3">
        <v>46310.602083333331</v>
      </c>
      <c r="C26" s="21" t="s">
        <v>9</v>
      </c>
      <c r="D26" s="21">
        <f>IFERROR(VLOOKUP(_2__Ferramental_AST[[#This Row],[ID]],CHECK_ACUM!A:A,1,0),"NOVO")</f>
        <v>7576</v>
      </c>
    </row>
    <row r="27" spans="1:4" hidden="1" x14ac:dyDescent="0.35">
      <c r="A27" s="1">
        <v>7575</v>
      </c>
      <c r="B27" s="3">
        <v>46310.601388888892</v>
      </c>
      <c r="C27" s="21" t="s">
        <v>9</v>
      </c>
      <c r="D27" s="21">
        <f>IFERROR(VLOOKUP(_2__Ferramental_AST[[#This Row],[ID]],CHECK_ACUM!A:A,1,0),"NOVO")</f>
        <v>7575</v>
      </c>
    </row>
    <row r="28" spans="1:4" hidden="1" x14ac:dyDescent="0.35">
      <c r="A28" s="1">
        <v>7574</v>
      </c>
      <c r="B28" s="3">
        <v>46310.59097222222</v>
      </c>
      <c r="C28" s="21" t="s">
        <v>19</v>
      </c>
      <c r="D28" s="21">
        <f>IFERROR(VLOOKUP(_2__Ferramental_AST[[#This Row],[ID]],CHECK_ACUM!A:A,1,0),"NOVO")</f>
        <v>7574</v>
      </c>
    </row>
    <row r="29" spans="1:4" hidden="1" x14ac:dyDescent="0.35">
      <c r="A29" s="1">
        <v>7572</v>
      </c>
      <c r="B29" s="3">
        <v>46309.731249999997</v>
      </c>
      <c r="C29" s="21" t="s">
        <v>5</v>
      </c>
      <c r="D29" s="21">
        <f>IFERROR(VLOOKUP(_2__Ferramental_AST[[#This Row],[ID]],CHECK_ACUM!A:A,1,0),"NOVO")</f>
        <v>7572</v>
      </c>
    </row>
    <row r="30" spans="1:4" hidden="1" x14ac:dyDescent="0.35">
      <c r="A30" s="1">
        <v>7571</v>
      </c>
      <c r="B30" s="3">
        <v>46309.676388888889</v>
      </c>
      <c r="C30" s="21" t="s">
        <v>5</v>
      </c>
      <c r="D30" s="21">
        <f>IFERROR(VLOOKUP(_2__Ferramental_AST[[#This Row],[ID]],CHECK_ACUM!A:A,1,0),"NOVO")</f>
        <v>7571</v>
      </c>
    </row>
    <row r="31" spans="1:4" hidden="1" x14ac:dyDescent="0.35">
      <c r="A31" s="1">
        <v>7570</v>
      </c>
      <c r="B31" s="3">
        <v>46309.675694444442</v>
      </c>
      <c r="C31" s="21" t="s">
        <v>5</v>
      </c>
      <c r="D31" s="21">
        <f>IFERROR(VLOOKUP(_2__Ferramental_AST[[#This Row],[ID]],CHECK_ACUM!A:A,1,0),"NOVO")</f>
        <v>7570</v>
      </c>
    </row>
    <row r="32" spans="1:4" hidden="1" x14ac:dyDescent="0.35">
      <c r="A32" s="1">
        <v>7569</v>
      </c>
      <c r="B32" s="3">
        <v>46309.675000000003</v>
      </c>
      <c r="C32" s="21" t="s">
        <v>5</v>
      </c>
      <c r="D32" s="21">
        <f>IFERROR(VLOOKUP(_2__Ferramental_AST[[#This Row],[ID]],CHECK_ACUM!A:A,1,0),"NOVO")</f>
        <v>7569</v>
      </c>
    </row>
    <row r="33" spans="1:4" hidden="1" x14ac:dyDescent="0.35">
      <c r="A33" s="1">
        <v>7568</v>
      </c>
      <c r="B33" s="3">
        <v>46309.558333333334</v>
      </c>
      <c r="C33" s="21" t="s">
        <v>19</v>
      </c>
      <c r="D33" s="21">
        <f>IFERROR(VLOOKUP(_2__Ferramental_AST[[#This Row],[ID]],CHECK_ACUM!A:A,1,0),"NOVO")</f>
        <v>7568</v>
      </c>
    </row>
    <row r="34" spans="1:4" hidden="1" x14ac:dyDescent="0.35">
      <c r="A34" s="1">
        <v>7567</v>
      </c>
      <c r="B34" s="3">
        <v>46309.493055555555</v>
      </c>
      <c r="C34" s="21" t="s">
        <v>21</v>
      </c>
      <c r="D34" s="21">
        <f>IFERROR(VLOOKUP(_2__Ferramental_AST[[#This Row],[ID]],CHECK_ACUM!A:A,1,0),"NOVO")</f>
        <v>7567</v>
      </c>
    </row>
    <row r="35" spans="1:4" hidden="1" x14ac:dyDescent="0.35">
      <c r="A35" s="1">
        <v>7566</v>
      </c>
      <c r="B35" s="3">
        <v>46309.493055555555</v>
      </c>
      <c r="C35" s="21" t="s">
        <v>21</v>
      </c>
      <c r="D35" s="21">
        <f>IFERROR(VLOOKUP(_2__Ferramental_AST[[#This Row],[ID]],CHECK_ACUM!A:A,1,0),"NOVO")</f>
        <v>7566</v>
      </c>
    </row>
    <row r="36" spans="1:4" hidden="1" x14ac:dyDescent="0.35">
      <c r="A36" s="1">
        <v>7565</v>
      </c>
      <c r="B36" s="3">
        <v>46309.467361111114</v>
      </c>
      <c r="C36" s="21" t="s">
        <v>3</v>
      </c>
      <c r="D36" s="21">
        <f>IFERROR(VLOOKUP(_2__Ferramental_AST[[#This Row],[ID]],CHECK_ACUM!A:A,1,0),"NOVO")</f>
        <v>7565</v>
      </c>
    </row>
    <row r="37" spans="1:4" hidden="1" x14ac:dyDescent="0.35">
      <c r="A37" s="1">
        <v>7562</v>
      </c>
      <c r="B37" s="3">
        <v>46308.74722222222</v>
      </c>
      <c r="C37" s="21" t="s">
        <v>24</v>
      </c>
      <c r="D37" s="21">
        <f>IFERROR(VLOOKUP(_2__Ferramental_AST[[#This Row],[ID]],CHECK_ACUM!A:A,1,0),"NOVO")</f>
        <v>7562</v>
      </c>
    </row>
    <row r="38" spans="1:4" hidden="1" x14ac:dyDescent="0.35">
      <c r="A38" s="1">
        <v>7561</v>
      </c>
      <c r="B38" s="3">
        <v>46308.722916666666</v>
      </c>
      <c r="C38" s="21" t="s">
        <v>5</v>
      </c>
      <c r="D38" s="21">
        <f>IFERROR(VLOOKUP(_2__Ferramental_AST[[#This Row],[ID]],CHECK_ACUM!A:A,1,0),"NOVO")</f>
        <v>7561</v>
      </c>
    </row>
    <row r="39" spans="1:4" hidden="1" x14ac:dyDescent="0.35">
      <c r="A39" s="1">
        <v>7560</v>
      </c>
      <c r="B39" s="3">
        <v>46308.722222222219</v>
      </c>
      <c r="C39" s="21" t="s">
        <v>5</v>
      </c>
      <c r="D39" s="21">
        <f>IFERROR(VLOOKUP(_2__Ferramental_AST[[#This Row],[ID]],CHECK_ACUM!A:A,1,0),"NOVO")</f>
        <v>7560</v>
      </c>
    </row>
    <row r="40" spans="1:4" hidden="1" x14ac:dyDescent="0.35">
      <c r="A40" s="1">
        <v>7559</v>
      </c>
      <c r="B40" s="3">
        <v>46308.72152777778</v>
      </c>
      <c r="C40" s="21" t="s">
        <v>5</v>
      </c>
      <c r="D40" s="21">
        <f>IFERROR(VLOOKUP(_2__Ferramental_AST[[#This Row],[ID]],CHECK_ACUM!A:A,1,0),"NOVO")</f>
        <v>7559</v>
      </c>
    </row>
    <row r="41" spans="1:4" hidden="1" x14ac:dyDescent="0.35">
      <c r="A41" s="1">
        <v>7558</v>
      </c>
      <c r="B41" s="3">
        <v>46308.720833333333</v>
      </c>
      <c r="C41" s="21" t="s">
        <v>5</v>
      </c>
      <c r="D41" s="21">
        <f>IFERROR(VLOOKUP(_2__Ferramental_AST[[#This Row],[ID]],CHECK_ACUM!A:A,1,0),"NOVO")</f>
        <v>7558</v>
      </c>
    </row>
    <row r="42" spans="1:4" hidden="1" x14ac:dyDescent="0.35">
      <c r="A42" s="1">
        <v>7557</v>
      </c>
      <c r="B42" s="3">
        <v>46308.691666666666</v>
      </c>
      <c r="C42" s="21" t="s">
        <v>28</v>
      </c>
      <c r="D42" s="21">
        <f>IFERROR(VLOOKUP(_2__Ferramental_AST[[#This Row],[ID]],CHECK_ACUM!A:A,1,0),"NOVO")</f>
        <v>7557</v>
      </c>
    </row>
    <row r="43" spans="1:4" hidden="1" x14ac:dyDescent="0.35">
      <c r="A43" s="1">
        <v>7556</v>
      </c>
      <c r="B43" s="3">
        <v>46308.48333333333</v>
      </c>
      <c r="C43" s="21" t="s">
        <v>3</v>
      </c>
      <c r="D43" s="21">
        <f>IFERROR(VLOOKUP(_2__Ferramental_AST[[#This Row],[ID]],CHECK_ACUM!A:A,1,0),"NOVO")</f>
        <v>7556</v>
      </c>
    </row>
    <row r="44" spans="1:4" hidden="1" x14ac:dyDescent="0.35">
      <c r="A44" s="1">
        <v>7555</v>
      </c>
      <c r="B44" s="3">
        <v>46308.431944444441</v>
      </c>
      <c r="C44" s="21" t="s">
        <v>3</v>
      </c>
      <c r="D44" s="21">
        <f>IFERROR(VLOOKUP(_2__Ferramental_AST[[#This Row],[ID]],CHECK_ACUM!A:A,1,0),"NOVO")</f>
        <v>7555</v>
      </c>
    </row>
    <row r="45" spans="1:4" hidden="1" x14ac:dyDescent="0.35">
      <c r="A45" s="1">
        <v>7551</v>
      </c>
      <c r="B45" s="3">
        <v>46304.76666666667</v>
      </c>
      <c r="C45" s="21" t="s">
        <v>5</v>
      </c>
      <c r="D45" s="21">
        <f>IFERROR(VLOOKUP(_2__Ferramental_AST[[#This Row],[ID]],CHECK_ACUM!A:A,1,0),"NOVO")</f>
        <v>7551</v>
      </c>
    </row>
    <row r="46" spans="1:4" hidden="1" x14ac:dyDescent="0.35">
      <c r="A46" s="1">
        <v>7550</v>
      </c>
      <c r="B46" s="3">
        <v>46304.765972222223</v>
      </c>
      <c r="C46" s="21" t="s">
        <v>5</v>
      </c>
      <c r="D46" s="21">
        <f>IFERROR(VLOOKUP(_2__Ferramental_AST[[#This Row],[ID]],CHECK_ACUM!A:A,1,0),"NOVO")</f>
        <v>7550</v>
      </c>
    </row>
    <row r="47" spans="1:4" hidden="1" x14ac:dyDescent="0.35">
      <c r="A47" s="1">
        <v>7549</v>
      </c>
      <c r="B47" s="3">
        <v>46304.763888888891</v>
      </c>
      <c r="C47" s="21" t="s">
        <v>5</v>
      </c>
      <c r="D47" s="21">
        <f>IFERROR(VLOOKUP(_2__Ferramental_AST[[#This Row],[ID]],CHECK_ACUM!A:A,1,0),"NOVO")</f>
        <v>7549</v>
      </c>
    </row>
    <row r="48" spans="1:4" hidden="1" x14ac:dyDescent="0.35">
      <c r="A48" s="1">
        <v>7548</v>
      </c>
      <c r="B48" s="3">
        <v>46304.763194444444</v>
      </c>
      <c r="C48" s="21" t="s">
        <v>5</v>
      </c>
      <c r="D48" s="21">
        <f>IFERROR(VLOOKUP(_2__Ferramental_AST[[#This Row],[ID]],CHECK_ACUM!A:A,1,0),"NOVO")</f>
        <v>7548</v>
      </c>
    </row>
    <row r="49" spans="1:4" hidden="1" x14ac:dyDescent="0.35">
      <c r="A49" s="1">
        <v>7547</v>
      </c>
      <c r="B49" s="3">
        <v>46304.761111111111</v>
      </c>
      <c r="C49" s="21" t="s">
        <v>5</v>
      </c>
      <c r="D49" s="21">
        <f>IFERROR(VLOOKUP(_2__Ferramental_AST[[#This Row],[ID]],CHECK_ACUM!A:A,1,0),"NOVO")</f>
        <v>7547</v>
      </c>
    </row>
    <row r="50" spans="1:4" hidden="1" x14ac:dyDescent="0.35">
      <c r="A50" s="1">
        <v>7546</v>
      </c>
      <c r="B50" s="3">
        <v>46304.663888888892</v>
      </c>
      <c r="C50" s="21" t="s">
        <v>28</v>
      </c>
      <c r="D50" s="21">
        <f>IFERROR(VLOOKUP(_2__Ferramental_AST[[#This Row],[ID]],CHECK_ACUM!A:A,1,0),"NOVO")</f>
        <v>7546</v>
      </c>
    </row>
    <row r="51" spans="1:4" hidden="1" x14ac:dyDescent="0.35">
      <c r="A51" s="1">
        <v>7542</v>
      </c>
      <c r="B51" s="3">
        <v>46304.580555555556</v>
      </c>
      <c r="C51" s="21" t="s">
        <v>24</v>
      </c>
      <c r="D51" s="21">
        <f>IFERROR(VLOOKUP(_2__Ferramental_AST[[#This Row],[ID]],CHECK_ACUM!A:A,1,0),"NOVO")</f>
        <v>7542</v>
      </c>
    </row>
    <row r="52" spans="1:4" hidden="1" x14ac:dyDescent="0.35">
      <c r="A52" s="1">
        <v>7541</v>
      </c>
      <c r="B52" s="3">
        <v>46304.464583333334</v>
      </c>
      <c r="C52" s="21" t="s">
        <v>21</v>
      </c>
      <c r="D52" s="21">
        <f>IFERROR(VLOOKUP(_2__Ferramental_AST[[#This Row],[ID]],CHECK_ACUM!A:A,1,0),"NOVO")</f>
        <v>7541</v>
      </c>
    </row>
    <row r="53" spans="1:4" hidden="1" x14ac:dyDescent="0.35">
      <c r="A53" s="1">
        <v>7540</v>
      </c>
      <c r="B53" s="3">
        <v>46304.463194444441</v>
      </c>
      <c r="C53" s="21" t="s">
        <v>21</v>
      </c>
      <c r="D53" s="21">
        <f>IFERROR(VLOOKUP(_2__Ferramental_AST[[#This Row],[ID]],CHECK_ACUM!A:A,1,0),"NOVO")</f>
        <v>7540</v>
      </c>
    </row>
    <row r="54" spans="1:4" hidden="1" x14ac:dyDescent="0.35">
      <c r="A54" s="1">
        <v>7539</v>
      </c>
      <c r="B54" s="3">
        <v>46304.461805555555</v>
      </c>
      <c r="C54" s="21" t="s">
        <v>3</v>
      </c>
      <c r="D54" s="21">
        <f>IFERROR(VLOOKUP(_2__Ferramental_AST[[#This Row],[ID]],CHECK_ACUM!A:A,1,0),"NOVO")</f>
        <v>7539</v>
      </c>
    </row>
    <row r="55" spans="1:4" hidden="1" x14ac:dyDescent="0.35">
      <c r="A55" s="1">
        <v>7538</v>
      </c>
      <c r="B55" s="3">
        <v>46304.415972222225</v>
      </c>
      <c r="C55" s="21" t="s">
        <v>21</v>
      </c>
      <c r="D55" s="21">
        <f>IFERROR(VLOOKUP(_2__Ferramental_AST[[#This Row],[ID]],CHECK_ACUM!A:A,1,0),"NOVO")</f>
        <v>7538</v>
      </c>
    </row>
    <row r="56" spans="1:4" hidden="1" x14ac:dyDescent="0.35">
      <c r="A56" s="1">
        <v>7537</v>
      </c>
      <c r="B56" s="3">
        <v>46304.40902777778</v>
      </c>
      <c r="C56" s="21" t="s">
        <v>19</v>
      </c>
      <c r="D56" s="21">
        <f>IFERROR(VLOOKUP(_2__Ferramental_AST[[#This Row],[ID]],CHECK_ACUM!A:A,1,0),"NOVO")</f>
        <v>7537</v>
      </c>
    </row>
    <row r="57" spans="1:4" hidden="1" x14ac:dyDescent="0.35">
      <c r="A57" s="1">
        <v>7536</v>
      </c>
      <c r="B57" s="3">
        <v>46304.354166666664</v>
      </c>
      <c r="C57" s="21" t="s">
        <v>19</v>
      </c>
      <c r="D57" s="21">
        <f>IFERROR(VLOOKUP(_2__Ferramental_AST[[#This Row],[ID]],CHECK_ACUM!A:A,1,0),"NOVO")</f>
        <v>7536</v>
      </c>
    </row>
    <row r="58" spans="1:4" hidden="1" x14ac:dyDescent="0.35">
      <c r="A58" s="1">
        <v>7534</v>
      </c>
      <c r="B58" s="3">
        <v>46303.762499999997</v>
      </c>
      <c r="C58" s="21" t="s">
        <v>5</v>
      </c>
      <c r="D58" s="21">
        <f>IFERROR(VLOOKUP(_2__Ferramental_AST[[#This Row],[ID]],CHECK_ACUM!A:A,1,0),"NOVO")</f>
        <v>7534</v>
      </c>
    </row>
    <row r="59" spans="1:4" hidden="1" x14ac:dyDescent="0.35">
      <c r="A59" s="1">
        <v>7533</v>
      </c>
      <c r="B59" s="3">
        <v>46303.717361111114</v>
      </c>
      <c r="C59" s="21" t="s">
        <v>5</v>
      </c>
      <c r="D59" s="21">
        <f>IFERROR(VLOOKUP(_2__Ferramental_AST[[#This Row],[ID]],CHECK_ACUM!A:A,1,0),"NOVO")</f>
        <v>7533</v>
      </c>
    </row>
    <row r="60" spans="1:4" hidden="1" x14ac:dyDescent="0.35">
      <c r="A60" s="1">
        <v>7532</v>
      </c>
      <c r="B60" s="3">
        <v>46303.680555555555</v>
      </c>
      <c r="C60" s="21" t="s">
        <v>22</v>
      </c>
      <c r="D60" s="21">
        <f>IFERROR(VLOOKUP(_2__Ferramental_AST[[#This Row],[ID]],CHECK_ACUM!A:A,1,0),"NOVO")</f>
        <v>7532</v>
      </c>
    </row>
    <row r="61" spans="1:4" hidden="1" x14ac:dyDescent="0.35">
      <c r="A61" s="1">
        <v>7531</v>
      </c>
      <c r="B61" s="3">
        <v>46303.669444444444</v>
      </c>
      <c r="C61" s="21" t="s">
        <v>5</v>
      </c>
      <c r="D61" s="21">
        <f>IFERROR(VLOOKUP(_2__Ferramental_AST[[#This Row],[ID]],CHECK_ACUM!A:A,1,0),"NOVO")</f>
        <v>7531</v>
      </c>
    </row>
    <row r="62" spans="1:4" hidden="1" x14ac:dyDescent="0.35">
      <c r="A62" s="1">
        <v>7530</v>
      </c>
      <c r="B62" s="3">
        <v>46303.668749999997</v>
      </c>
      <c r="C62" s="21" t="s">
        <v>5</v>
      </c>
      <c r="D62" s="21">
        <f>IFERROR(VLOOKUP(_2__Ferramental_AST[[#This Row],[ID]],CHECK_ACUM!A:A,1,0),"NOVO")</f>
        <v>7530</v>
      </c>
    </row>
    <row r="63" spans="1:4" hidden="1" x14ac:dyDescent="0.35">
      <c r="A63" s="1">
        <v>7529</v>
      </c>
      <c r="B63" s="3">
        <v>46303.668055555558</v>
      </c>
      <c r="C63" s="21" t="s">
        <v>5</v>
      </c>
      <c r="D63" s="21">
        <f>IFERROR(VLOOKUP(_2__Ferramental_AST[[#This Row],[ID]],CHECK_ACUM!A:A,1,0),"NOVO")</f>
        <v>7529</v>
      </c>
    </row>
    <row r="64" spans="1:4" hidden="1" x14ac:dyDescent="0.35">
      <c r="A64" s="1">
        <v>7528</v>
      </c>
      <c r="B64" s="3">
        <v>46303.652083333334</v>
      </c>
      <c r="C64" s="21" t="s">
        <v>19</v>
      </c>
      <c r="D64" s="21">
        <f>IFERROR(VLOOKUP(_2__Ferramental_AST[[#This Row],[ID]],CHECK_ACUM!A:A,1,0),"NOVO")</f>
        <v>7528</v>
      </c>
    </row>
    <row r="65" spans="1:4" hidden="1" x14ac:dyDescent="0.35">
      <c r="A65" s="1">
        <v>7527</v>
      </c>
      <c r="B65" s="3">
        <v>46303.651388888888</v>
      </c>
      <c r="C65" s="21" t="s">
        <v>19</v>
      </c>
      <c r="D65" s="21">
        <f>IFERROR(VLOOKUP(_2__Ferramental_AST[[#This Row],[ID]],CHECK_ACUM!A:A,1,0),"NOVO")</f>
        <v>7527</v>
      </c>
    </row>
    <row r="66" spans="1:4" hidden="1" x14ac:dyDescent="0.35">
      <c r="A66" s="1">
        <v>7526</v>
      </c>
      <c r="B66" s="3">
        <v>46303.611111111109</v>
      </c>
      <c r="C66" s="21" t="s">
        <v>9</v>
      </c>
      <c r="D66" s="21">
        <f>IFERROR(VLOOKUP(_2__Ferramental_AST[[#This Row],[ID]],CHECK_ACUM!A:A,1,0),"NOVO")</f>
        <v>7526</v>
      </c>
    </row>
    <row r="67" spans="1:4" hidden="1" x14ac:dyDescent="0.35">
      <c r="A67" s="1">
        <v>7525</v>
      </c>
      <c r="B67" s="3">
        <v>46303.588194444441</v>
      </c>
      <c r="C67" s="21" t="s">
        <v>21</v>
      </c>
      <c r="D67" s="21">
        <f>IFERROR(VLOOKUP(_2__Ferramental_AST[[#This Row],[ID]],CHECK_ACUM!A:A,1,0),"NOVO")</f>
        <v>7525</v>
      </c>
    </row>
    <row r="68" spans="1:4" hidden="1" x14ac:dyDescent="0.35">
      <c r="A68" s="1">
        <v>7524</v>
      </c>
      <c r="B68" s="3">
        <v>46303.42083333333</v>
      </c>
      <c r="C68" s="21" t="s">
        <v>21</v>
      </c>
      <c r="D68" s="21">
        <f>IFERROR(VLOOKUP(_2__Ferramental_AST[[#This Row],[ID]],CHECK_ACUM!A:A,1,0),"NOVO")</f>
        <v>7524</v>
      </c>
    </row>
    <row r="69" spans="1:4" hidden="1" x14ac:dyDescent="0.35">
      <c r="A69" s="1">
        <v>7523</v>
      </c>
      <c r="B69" s="3">
        <v>46302.624305555553</v>
      </c>
      <c r="C69" s="21" t="s">
        <v>3</v>
      </c>
      <c r="D69" s="21">
        <f>IFERROR(VLOOKUP(_2__Ferramental_AST[[#This Row],[ID]],CHECK_ACUM!A:A,1,0),"NOVO")</f>
        <v>7523</v>
      </c>
    </row>
    <row r="70" spans="1:4" hidden="1" x14ac:dyDescent="0.35">
      <c r="A70" s="1">
        <v>7522</v>
      </c>
      <c r="B70" s="3">
        <v>46302.615277777775</v>
      </c>
      <c r="C70" s="21" t="s">
        <v>19</v>
      </c>
      <c r="D70" s="21">
        <f>IFERROR(VLOOKUP(_2__Ferramental_AST[[#This Row],[ID]],CHECK_ACUM!A:A,1,0),"NOVO")</f>
        <v>7522</v>
      </c>
    </row>
    <row r="71" spans="1:4" hidden="1" x14ac:dyDescent="0.35">
      <c r="A71" s="1">
        <v>7521</v>
      </c>
      <c r="B71" s="3">
        <v>46301.74722222222</v>
      </c>
      <c r="C71" s="21" t="s">
        <v>24</v>
      </c>
      <c r="D71" s="21">
        <f>IFERROR(VLOOKUP(_2__Ferramental_AST[[#This Row],[ID]],CHECK_ACUM!A:A,1,0),"NOVO")</f>
        <v>7521</v>
      </c>
    </row>
    <row r="72" spans="1:4" hidden="1" x14ac:dyDescent="0.35">
      <c r="A72" s="1">
        <v>7520</v>
      </c>
      <c r="B72" s="3">
        <v>46301.746527777781</v>
      </c>
      <c r="C72" s="21" t="s">
        <v>5</v>
      </c>
      <c r="D72" s="21">
        <f>IFERROR(VLOOKUP(_2__Ferramental_AST[[#This Row],[ID]],CHECK_ACUM!A:A,1,0),"NOVO")</f>
        <v>7520</v>
      </c>
    </row>
    <row r="73" spans="1:4" hidden="1" x14ac:dyDescent="0.35">
      <c r="A73" s="1">
        <v>7519</v>
      </c>
      <c r="B73" s="3">
        <v>46301.745833333334</v>
      </c>
      <c r="C73" s="21" t="s">
        <v>5</v>
      </c>
      <c r="D73" s="21">
        <f>IFERROR(VLOOKUP(_2__Ferramental_AST[[#This Row],[ID]],CHECK_ACUM!A:A,1,0),"NOVO")</f>
        <v>7519</v>
      </c>
    </row>
    <row r="74" spans="1:4" hidden="1" x14ac:dyDescent="0.35">
      <c r="A74" s="1">
        <v>7518</v>
      </c>
      <c r="B74" s="3">
        <v>46301.745138888888</v>
      </c>
      <c r="C74" s="21" t="s">
        <v>5</v>
      </c>
      <c r="D74" s="21">
        <f>IFERROR(VLOOKUP(_2__Ferramental_AST[[#This Row],[ID]],CHECK_ACUM!A:A,1,0),"NOVO")</f>
        <v>7518</v>
      </c>
    </row>
    <row r="75" spans="1:4" hidden="1" x14ac:dyDescent="0.35">
      <c r="A75" s="1">
        <v>7517</v>
      </c>
      <c r="B75" s="3">
        <v>46301.743750000001</v>
      </c>
      <c r="C75" s="21" t="s">
        <v>5</v>
      </c>
      <c r="D75" s="21">
        <f>IFERROR(VLOOKUP(_2__Ferramental_AST[[#This Row],[ID]],CHECK_ACUM!A:A,1,0),"NOVO")</f>
        <v>7517</v>
      </c>
    </row>
    <row r="76" spans="1:4" hidden="1" x14ac:dyDescent="0.35">
      <c r="A76" s="1">
        <v>7515</v>
      </c>
      <c r="B76" s="3">
        <v>46301.724305555559</v>
      </c>
      <c r="C76" s="21" t="s">
        <v>22</v>
      </c>
      <c r="D76" s="21">
        <f>IFERROR(VLOOKUP(_2__Ferramental_AST[[#This Row],[ID]],CHECK_ACUM!A:A,1,0),"NOVO")</f>
        <v>7515</v>
      </c>
    </row>
    <row r="77" spans="1:4" hidden="1" x14ac:dyDescent="0.35">
      <c r="A77" s="1">
        <v>7514</v>
      </c>
      <c r="B77" s="3">
        <v>46301.63958333333</v>
      </c>
      <c r="C77" s="21" t="s">
        <v>21</v>
      </c>
      <c r="D77" s="21">
        <f>IFERROR(VLOOKUP(_2__Ferramental_AST[[#This Row],[ID]],CHECK_ACUM!A:A,1,0),"NOVO")</f>
        <v>7514</v>
      </c>
    </row>
    <row r="78" spans="1:4" hidden="1" x14ac:dyDescent="0.35">
      <c r="A78" s="1">
        <v>7513</v>
      </c>
      <c r="B78" s="3">
        <v>46301.513194444444</v>
      </c>
      <c r="C78" s="21" t="s">
        <v>21</v>
      </c>
      <c r="D78" s="21">
        <f>IFERROR(VLOOKUP(_2__Ferramental_AST[[#This Row],[ID]],CHECK_ACUM!A:A,1,0),"NOVO")</f>
        <v>7513</v>
      </c>
    </row>
    <row r="79" spans="1:4" hidden="1" x14ac:dyDescent="0.35">
      <c r="A79" s="1">
        <v>7510</v>
      </c>
      <c r="B79" s="3">
        <v>46301.500694444447</v>
      </c>
      <c r="C79" s="21" t="s">
        <v>24</v>
      </c>
      <c r="D79" s="21">
        <f>IFERROR(VLOOKUP(_2__Ferramental_AST[[#This Row],[ID]],CHECK_ACUM!A:A,1,0),"NOVO")</f>
        <v>7510</v>
      </c>
    </row>
    <row r="80" spans="1:4" hidden="1" x14ac:dyDescent="0.35">
      <c r="A80" s="1">
        <v>7509</v>
      </c>
      <c r="B80" s="3">
        <v>46301.48541666667</v>
      </c>
      <c r="C80" s="21" t="s">
        <v>24</v>
      </c>
      <c r="D80" s="21">
        <f>IFERROR(VLOOKUP(_2__Ferramental_AST[[#This Row],[ID]],CHECK_ACUM!A:A,1,0),"NOVO")</f>
        <v>7509</v>
      </c>
    </row>
    <row r="81" spans="1:4" hidden="1" x14ac:dyDescent="0.35">
      <c r="A81" s="1">
        <v>7508</v>
      </c>
      <c r="B81" s="3">
        <v>46301.470138888886</v>
      </c>
      <c r="C81" s="21" t="s">
        <v>19</v>
      </c>
      <c r="D81" s="21">
        <f>IFERROR(VLOOKUP(_2__Ferramental_AST[[#This Row],[ID]],CHECK_ACUM!A:A,1,0),"NOVO")</f>
        <v>7508</v>
      </c>
    </row>
    <row r="82" spans="1:4" hidden="1" x14ac:dyDescent="0.35">
      <c r="A82" s="1">
        <v>7507</v>
      </c>
      <c r="B82" s="3">
        <v>46301.433333333334</v>
      </c>
      <c r="C82" s="21" t="s">
        <v>3</v>
      </c>
      <c r="D82" s="21">
        <f>IFERROR(VLOOKUP(_2__Ferramental_AST[[#This Row],[ID]],CHECK_ACUM!A:A,1,0),"NOVO")</f>
        <v>7507</v>
      </c>
    </row>
    <row r="83" spans="1:4" hidden="1" x14ac:dyDescent="0.35">
      <c r="A83" s="1">
        <v>7506</v>
      </c>
      <c r="B83" s="3">
        <v>46301.395833333336</v>
      </c>
      <c r="C83" s="21" t="s">
        <v>28</v>
      </c>
      <c r="D83" s="21">
        <f>IFERROR(VLOOKUP(_2__Ferramental_AST[[#This Row],[ID]],CHECK_ACUM!A:A,1,0),"NOVO")</f>
        <v>7506</v>
      </c>
    </row>
    <row r="84" spans="1:4" hidden="1" x14ac:dyDescent="0.35">
      <c r="A84" s="1">
        <v>7505</v>
      </c>
      <c r="B84" s="3">
        <v>46301.395833333336</v>
      </c>
      <c r="C84" s="21" t="s">
        <v>28</v>
      </c>
      <c r="D84" s="21">
        <f>IFERROR(VLOOKUP(_2__Ferramental_AST[[#This Row],[ID]],CHECK_ACUM!A:A,1,0),"NOVO")</f>
        <v>7505</v>
      </c>
    </row>
    <row r="85" spans="1:4" hidden="1" x14ac:dyDescent="0.35">
      <c r="A85" s="1">
        <v>7504</v>
      </c>
      <c r="B85" s="3">
        <v>46301.395138888889</v>
      </c>
      <c r="C85" s="21" t="s">
        <v>28</v>
      </c>
      <c r="D85" s="21">
        <f>IFERROR(VLOOKUP(_2__Ferramental_AST[[#This Row],[ID]],CHECK_ACUM!A:A,1,0),"NOVO")</f>
        <v>7504</v>
      </c>
    </row>
    <row r="86" spans="1:4" hidden="1" x14ac:dyDescent="0.35">
      <c r="A86" s="1">
        <v>7503</v>
      </c>
      <c r="B86" s="3">
        <v>46301.394444444442</v>
      </c>
      <c r="C86" s="21" t="s">
        <v>28</v>
      </c>
      <c r="D86" s="21">
        <f>IFERROR(VLOOKUP(_2__Ferramental_AST[[#This Row],[ID]],CHECK_ACUM!A:A,1,0),"NOVO")</f>
        <v>7503</v>
      </c>
    </row>
    <row r="87" spans="1:4" hidden="1" x14ac:dyDescent="0.35">
      <c r="A87" s="1">
        <v>7502</v>
      </c>
      <c r="B87" s="3">
        <v>46301.393750000003</v>
      </c>
      <c r="C87" s="21" t="s">
        <v>28</v>
      </c>
      <c r="D87" s="21">
        <f>IFERROR(VLOOKUP(_2__Ferramental_AST[[#This Row],[ID]],CHECK_ACUM!A:A,1,0),"NOVO")</f>
        <v>7502</v>
      </c>
    </row>
    <row r="88" spans="1:4" hidden="1" x14ac:dyDescent="0.35">
      <c r="A88" s="1">
        <v>7500</v>
      </c>
      <c r="B88" s="3">
        <v>46301.366666666669</v>
      </c>
      <c r="C88" s="21" t="s">
        <v>24</v>
      </c>
      <c r="D88" s="21">
        <f>IFERROR(VLOOKUP(_2__Ferramental_AST[[#This Row],[ID]],CHECK_ACUM!A:A,1,0),"NOVO")</f>
        <v>7500</v>
      </c>
    </row>
    <row r="89" spans="1:4" hidden="1" x14ac:dyDescent="0.35">
      <c r="A89" s="1">
        <v>7499</v>
      </c>
      <c r="B89" s="3">
        <v>46301.365972222222</v>
      </c>
      <c r="C89" s="21" t="s">
        <v>24</v>
      </c>
      <c r="D89" s="21">
        <f>IFERROR(VLOOKUP(_2__Ferramental_AST[[#This Row],[ID]],CHECK_ACUM!A:A,1,0),"NOVO")</f>
        <v>7499</v>
      </c>
    </row>
    <row r="90" spans="1:4" hidden="1" x14ac:dyDescent="0.35">
      <c r="A90" s="1">
        <v>7498</v>
      </c>
      <c r="B90" s="3">
        <v>46301.365277777775</v>
      </c>
      <c r="C90" s="21" t="s">
        <v>24</v>
      </c>
      <c r="D90" s="21">
        <f>IFERROR(VLOOKUP(_2__Ferramental_AST[[#This Row],[ID]],CHECK_ACUM!A:A,1,0),"NOVO")</f>
        <v>7498</v>
      </c>
    </row>
    <row r="91" spans="1:4" hidden="1" x14ac:dyDescent="0.35">
      <c r="A91" s="1">
        <v>7497</v>
      </c>
      <c r="B91" s="3">
        <v>46301.363888888889</v>
      </c>
      <c r="C91" s="21" t="s">
        <v>24</v>
      </c>
      <c r="D91" s="21">
        <f>IFERROR(VLOOKUP(_2__Ferramental_AST[[#This Row],[ID]],CHECK_ACUM!A:A,1,0),"NOVO")</f>
        <v>7497</v>
      </c>
    </row>
    <row r="92" spans="1:4" hidden="1" x14ac:dyDescent="0.35">
      <c r="A92" s="1">
        <v>7496</v>
      </c>
      <c r="B92" s="3">
        <v>46301.363194444442</v>
      </c>
      <c r="C92" s="21" t="s">
        <v>24</v>
      </c>
      <c r="D92" s="21">
        <f>IFERROR(VLOOKUP(_2__Ferramental_AST[[#This Row],[ID]],CHECK_ACUM!A:A,1,0),"NOVO")</f>
        <v>7496</v>
      </c>
    </row>
    <row r="93" spans="1:4" hidden="1" x14ac:dyDescent="0.35">
      <c r="A93" s="1">
        <v>7495</v>
      </c>
      <c r="B93" s="3">
        <v>46301.362500000003</v>
      </c>
      <c r="C93" s="21" t="s">
        <v>24</v>
      </c>
      <c r="D93" s="21">
        <f>IFERROR(VLOOKUP(_2__Ferramental_AST[[#This Row],[ID]],CHECK_ACUM!A:A,1,0),"NOVO")</f>
        <v>7495</v>
      </c>
    </row>
    <row r="94" spans="1:4" hidden="1" x14ac:dyDescent="0.35">
      <c r="A94" s="1">
        <v>7494</v>
      </c>
      <c r="B94" s="3">
        <v>46301.362500000003</v>
      </c>
      <c r="C94" s="21" t="s">
        <v>24</v>
      </c>
      <c r="D94" s="21">
        <f>IFERROR(VLOOKUP(_2__Ferramental_AST[[#This Row],[ID]],CHECK_ACUM!A:A,1,0),"NOVO")</f>
        <v>7494</v>
      </c>
    </row>
    <row r="95" spans="1:4" hidden="1" x14ac:dyDescent="0.35">
      <c r="A95" s="1">
        <v>7493</v>
      </c>
      <c r="B95" s="3">
        <v>46301.361805555556</v>
      </c>
      <c r="C95" s="21" t="s">
        <v>24</v>
      </c>
      <c r="D95" s="21">
        <f>IFERROR(VLOOKUP(_2__Ferramental_AST[[#This Row],[ID]],CHECK_ACUM!A:A,1,0),"NOVO")</f>
        <v>7493</v>
      </c>
    </row>
    <row r="96" spans="1:4" hidden="1" x14ac:dyDescent="0.35">
      <c r="A96" s="1">
        <v>7492</v>
      </c>
      <c r="B96" s="3">
        <v>46301.361111111109</v>
      </c>
      <c r="C96" s="21" t="s">
        <v>24</v>
      </c>
      <c r="D96" s="21">
        <f>IFERROR(VLOOKUP(_2__Ferramental_AST[[#This Row],[ID]],CHECK_ACUM!A:A,1,0),"NOVO")</f>
        <v>7492</v>
      </c>
    </row>
    <row r="97" spans="1:4" hidden="1" x14ac:dyDescent="0.35">
      <c r="A97" s="1">
        <v>7491</v>
      </c>
      <c r="B97" s="3">
        <v>46301.359027777777</v>
      </c>
      <c r="C97" s="21" t="s">
        <v>3</v>
      </c>
      <c r="D97" s="21">
        <f>IFERROR(VLOOKUP(_2__Ferramental_AST[[#This Row],[ID]],CHECK_ACUM!A:A,1,0),"NOVO")</f>
        <v>7491</v>
      </c>
    </row>
    <row r="98" spans="1:4" hidden="1" x14ac:dyDescent="0.35">
      <c r="A98" s="1">
        <v>7490</v>
      </c>
      <c r="B98" s="3">
        <v>46301.361111111109</v>
      </c>
      <c r="C98" s="21" t="s">
        <v>24</v>
      </c>
      <c r="D98" s="21">
        <f>IFERROR(VLOOKUP(_2__Ferramental_AST[[#This Row],[ID]],CHECK_ACUM!A:A,1,0),"NOVO")</f>
        <v>7490</v>
      </c>
    </row>
    <row r="99" spans="1:4" hidden="1" x14ac:dyDescent="0.35">
      <c r="A99" s="1">
        <v>7489</v>
      </c>
      <c r="B99" s="3">
        <v>46301.35833333333</v>
      </c>
      <c r="C99" s="21" t="s">
        <v>19</v>
      </c>
      <c r="D99" s="21">
        <f>IFERROR(VLOOKUP(_2__Ferramental_AST[[#This Row],[ID]],CHECK_ACUM!A:A,1,0),"NOVO")</f>
        <v>7489</v>
      </c>
    </row>
    <row r="100" spans="1:4" hidden="1" x14ac:dyDescent="0.35">
      <c r="A100" s="1">
        <v>7488</v>
      </c>
      <c r="B100" s="3">
        <v>46301.35833333333</v>
      </c>
      <c r="C100" s="21" t="s">
        <v>3</v>
      </c>
      <c r="D100" s="21">
        <f>IFERROR(VLOOKUP(_2__Ferramental_AST[[#This Row],[ID]],CHECK_ACUM!A:A,1,0),"NOVO")</f>
        <v>7488</v>
      </c>
    </row>
    <row r="101" spans="1:4" hidden="1" x14ac:dyDescent="0.35">
      <c r="A101" s="1">
        <v>7487</v>
      </c>
      <c r="B101" s="3">
        <v>46301.356944444444</v>
      </c>
      <c r="C101" s="21" t="s">
        <v>3</v>
      </c>
      <c r="D101" s="21">
        <f>IFERROR(VLOOKUP(_2__Ferramental_AST[[#This Row],[ID]],CHECK_ACUM!A:A,1,0),"NOVO")</f>
        <v>7487</v>
      </c>
    </row>
    <row r="102" spans="1:4" hidden="1" x14ac:dyDescent="0.35">
      <c r="A102" s="1">
        <v>7486</v>
      </c>
      <c r="B102" s="3">
        <v>46301.288194444445</v>
      </c>
      <c r="C102" s="21" t="s">
        <v>9</v>
      </c>
      <c r="D102" s="21">
        <f>IFERROR(VLOOKUP(_2__Ferramental_AST[[#This Row],[ID]],CHECK_ACUM!A:A,1,0),"NOVO")</f>
        <v>7486</v>
      </c>
    </row>
    <row r="103" spans="1:4" hidden="1" x14ac:dyDescent="0.35">
      <c r="A103" s="1">
        <v>7485</v>
      </c>
      <c r="B103" s="3">
        <v>46301.287499999999</v>
      </c>
      <c r="C103" s="21" t="s">
        <v>9</v>
      </c>
      <c r="D103" s="21">
        <f>IFERROR(VLOOKUP(_2__Ferramental_AST[[#This Row],[ID]],CHECK_ACUM!A:A,1,0),"NOVO")</f>
        <v>7485</v>
      </c>
    </row>
    <row r="104" spans="1:4" hidden="1" x14ac:dyDescent="0.35">
      <c r="A104" s="1">
        <v>7484</v>
      </c>
      <c r="B104" s="3">
        <v>46301.286805555559</v>
      </c>
      <c r="C104" s="21" t="s">
        <v>9</v>
      </c>
      <c r="D104" s="21">
        <f>IFERROR(VLOOKUP(_2__Ferramental_AST[[#This Row],[ID]],CHECK_ACUM!A:A,1,0),"NOVO")</f>
        <v>7484</v>
      </c>
    </row>
    <row r="105" spans="1:4" hidden="1" x14ac:dyDescent="0.35">
      <c r="A105" s="1">
        <v>7482</v>
      </c>
      <c r="B105" s="3">
        <v>46297.784722222219</v>
      </c>
      <c r="C105" s="21" t="s">
        <v>5</v>
      </c>
      <c r="D105" s="21">
        <f>IFERROR(VLOOKUP(_2__Ferramental_AST[[#This Row],[ID]],CHECK_ACUM!A:A,1,0),"NOVO")</f>
        <v>7482</v>
      </c>
    </row>
    <row r="106" spans="1:4" hidden="1" x14ac:dyDescent="0.35">
      <c r="A106" s="1">
        <v>7481</v>
      </c>
      <c r="B106" s="3">
        <v>46297.78402777778</v>
      </c>
      <c r="C106" s="21" t="s">
        <v>5</v>
      </c>
      <c r="D106" s="21">
        <f>IFERROR(VLOOKUP(_2__Ferramental_AST[[#This Row],[ID]],CHECK_ACUM!A:A,1,0),"NOVO")</f>
        <v>7481</v>
      </c>
    </row>
    <row r="107" spans="1:4" hidden="1" x14ac:dyDescent="0.35">
      <c r="A107" s="1">
        <v>7480</v>
      </c>
      <c r="B107" s="3">
        <v>46297.781944444447</v>
      </c>
      <c r="C107" s="21" t="s">
        <v>5</v>
      </c>
      <c r="D107" s="21">
        <f>IFERROR(VLOOKUP(_2__Ferramental_AST[[#This Row],[ID]],CHECK_ACUM!A:A,1,0),"NOVO")</f>
        <v>7480</v>
      </c>
    </row>
    <row r="108" spans="1:4" hidden="1" x14ac:dyDescent="0.35">
      <c r="A108" s="1">
        <v>7479</v>
      </c>
      <c r="B108" s="3">
        <v>46297.779166666667</v>
      </c>
      <c r="C108" s="21" t="s">
        <v>5</v>
      </c>
      <c r="D108" s="21">
        <f>IFERROR(VLOOKUP(_2__Ferramental_AST[[#This Row],[ID]],CHECK_ACUM!A:A,1,0),"NOVO")</f>
        <v>7479</v>
      </c>
    </row>
    <row r="109" spans="1:4" hidden="1" x14ac:dyDescent="0.35">
      <c r="A109" s="1">
        <v>7478</v>
      </c>
      <c r="B109" s="3">
        <v>46297.777777777781</v>
      </c>
      <c r="C109" s="21" t="s">
        <v>5</v>
      </c>
      <c r="D109" s="21">
        <f>IFERROR(VLOOKUP(_2__Ferramental_AST[[#This Row],[ID]],CHECK_ACUM!A:A,1,0),"NOVO")</f>
        <v>7478</v>
      </c>
    </row>
    <row r="110" spans="1:4" hidden="1" x14ac:dyDescent="0.35">
      <c r="A110" s="1">
        <v>7477</v>
      </c>
      <c r="B110" s="3">
        <v>46297.690972222219</v>
      </c>
      <c r="C110" s="21" t="s">
        <v>22</v>
      </c>
      <c r="D110" s="21">
        <f>IFERROR(VLOOKUP(_2__Ferramental_AST[[#This Row],[ID]],CHECK_ACUM!A:A,1,0),"NOVO")</f>
        <v>7477</v>
      </c>
    </row>
    <row r="111" spans="1:4" hidden="1" x14ac:dyDescent="0.35">
      <c r="A111" s="1">
        <v>7476</v>
      </c>
      <c r="B111" s="3">
        <v>46297.69027777778</v>
      </c>
      <c r="C111" s="21" t="s">
        <v>22</v>
      </c>
      <c r="D111" s="21">
        <f>IFERROR(VLOOKUP(_2__Ferramental_AST[[#This Row],[ID]],CHECK_ACUM!A:A,1,0),"NOVO")</f>
        <v>7476</v>
      </c>
    </row>
    <row r="112" spans="1:4" hidden="1" x14ac:dyDescent="0.35">
      <c r="A112" s="1">
        <v>7475</v>
      </c>
      <c r="B112" s="3">
        <v>46297.597222222219</v>
      </c>
      <c r="C112" s="21" t="s">
        <v>9</v>
      </c>
      <c r="D112" s="21">
        <f>IFERROR(VLOOKUP(_2__Ferramental_AST[[#This Row],[ID]],CHECK_ACUM!A:A,1,0),"NOVO")</f>
        <v>7475</v>
      </c>
    </row>
    <row r="113" spans="1:4" hidden="1" x14ac:dyDescent="0.35">
      <c r="A113" s="1">
        <v>7474</v>
      </c>
      <c r="B113" s="3">
        <v>46297.522916666669</v>
      </c>
      <c r="C113" s="21" t="s">
        <v>28</v>
      </c>
      <c r="D113" s="21">
        <f>IFERROR(VLOOKUP(_2__Ferramental_AST[[#This Row],[ID]],CHECK_ACUM!A:A,1,0),"NOVO")</f>
        <v>7474</v>
      </c>
    </row>
    <row r="114" spans="1:4" hidden="1" x14ac:dyDescent="0.35">
      <c r="A114" s="1">
        <v>7473</v>
      </c>
      <c r="B114" s="3">
        <v>46297.522222222222</v>
      </c>
      <c r="C114" s="21" t="s">
        <v>28</v>
      </c>
      <c r="D114" s="21">
        <f>IFERROR(VLOOKUP(_2__Ferramental_AST[[#This Row],[ID]],CHECK_ACUM!A:A,1,0),"NOVO")</f>
        <v>7473</v>
      </c>
    </row>
    <row r="115" spans="1:4" hidden="1" x14ac:dyDescent="0.35">
      <c r="A115" s="1">
        <v>7472</v>
      </c>
      <c r="B115" s="3">
        <v>46297.458333333336</v>
      </c>
      <c r="C115" s="21" t="s">
        <v>3</v>
      </c>
      <c r="D115" s="21">
        <f>IFERROR(VLOOKUP(_2__Ferramental_AST[[#This Row],[ID]],CHECK_ACUM!A:A,1,0),"NOVO")</f>
        <v>7472</v>
      </c>
    </row>
    <row r="116" spans="1:4" hidden="1" x14ac:dyDescent="0.35">
      <c r="A116" s="1">
        <v>7471</v>
      </c>
      <c r="B116" s="3">
        <v>46297.411805555559</v>
      </c>
      <c r="C116" s="21" t="s">
        <v>9</v>
      </c>
      <c r="D116" s="21">
        <f>IFERROR(VLOOKUP(_2__Ferramental_AST[[#This Row],[ID]],CHECK_ACUM!A:A,1,0),"NOVO")</f>
        <v>7471</v>
      </c>
    </row>
    <row r="117" spans="1:4" hidden="1" x14ac:dyDescent="0.35">
      <c r="A117" s="1">
        <v>7470</v>
      </c>
      <c r="B117" s="3">
        <v>46296.605555555558</v>
      </c>
      <c r="C117" s="21" t="s">
        <v>19</v>
      </c>
      <c r="D117" s="21">
        <f>IFERROR(VLOOKUP(_2__Ferramental_AST[[#This Row],[ID]],CHECK_ACUM!A:A,1,0),"NOVO")</f>
        <v>7470</v>
      </c>
    </row>
    <row r="118" spans="1:4" hidden="1" x14ac:dyDescent="0.35">
      <c r="A118" s="1">
        <v>7469</v>
      </c>
      <c r="B118" s="3">
        <v>46296.543055555558</v>
      </c>
      <c r="C118" s="21" t="s">
        <v>9</v>
      </c>
      <c r="D118" s="21">
        <f>IFERROR(VLOOKUP(_2__Ferramental_AST[[#This Row],[ID]],CHECK_ACUM!A:A,1,0),"NOVO")</f>
        <v>7469</v>
      </c>
    </row>
    <row r="119" spans="1:4" hidden="1" x14ac:dyDescent="0.35">
      <c r="A119" s="1">
        <v>7468</v>
      </c>
      <c r="B119" s="3">
        <v>46296.53402777778</v>
      </c>
      <c r="C119" s="21" t="s">
        <v>5</v>
      </c>
      <c r="D119" s="21">
        <f>IFERROR(VLOOKUP(_2__Ferramental_AST[[#This Row],[ID]],CHECK_ACUM!A:A,1,0),"NOVO")</f>
        <v>7468</v>
      </c>
    </row>
    <row r="120" spans="1:4" hidden="1" x14ac:dyDescent="0.35">
      <c r="A120" s="1">
        <v>7467</v>
      </c>
      <c r="B120" s="3">
        <v>46296.533333333333</v>
      </c>
      <c r="C120" s="21" t="s">
        <v>5</v>
      </c>
      <c r="D120" s="21">
        <f>IFERROR(VLOOKUP(_2__Ferramental_AST[[#This Row],[ID]],CHECK_ACUM!A:A,1,0),"NOVO")</f>
        <v>7467</v>
      </c>
    </row>
    <row r="121" spans="1:4" hidden="1" x14ac:dyDescent="0.35">
      <c r="A121" s="1">
        <v>7466</v>
      </c>
      <c r="B121" s="3">
        <v>46296.531944444447</v>
      </c>
      <c r="C121" s="21" t="s">
        <v>5</v>
      </c>
      <c r="D121" s="21">
        <f>IFERROR(VLOOKUP(_2__Ferramental_AST[[#This Row],[ID]],CHECK_ACUM!A:A,1,0),"NOVO")</f>
        <v>7466</v>
      </c>
    </row>
    <row r="122" spans="1:4" hidden="1" x14ac:dyDescent="0.35">
      <c r="A122" s="1">
        <v>7465</v>
      </c>
      <c r="B122" s="3">
        <v>46296.525694444441</v>
      </c>
      <c r="C122" s="21" t="s">
        <v>5</v>
      </c>
      <c r="D122" s="21">
        <f>IFERROR(VLOOKUP(_2__Ferramental_AST[[#This Row],[ID]],CHECK_ACUM!A:A,1,0),"NOVO")</f>
        <v>7465</v>
      </c>
    </row>
    <row r="123" spans="1:4" hidden="1" x14ac:dyDescent="0.35">
      <c r="A123" s="1">
        <v>7464</v>
      </c>
      <c r="B123" s="3">
        <v>46296.524305555555</v>
      </c>
      <c r="C123" s="21" t="s">
        <v>5</v>
      </c>
      <c r="D123" s="21">
        <f>IFERROR(VLOOKUP(_2__Ferramental_AST[[#This Row],[ID]],CHECK_ACUM!A:A,1,0),"NOVO")</f>
        <v>7464</v>
      </c>
    </row>
    <row r="124" spans="1:4" hidden="1" x14ac:dyDescent="0.35">
      <c r="A124" s="1">
        <v>7463</v>
      </c>
      <c r="B124" s="3">
        <v>46296.522222222222</v>
      </c>
      <c r="C124" s="21" t="s">
        <v>5</v>
      </c>
      <c r="D124" s="21">
        <f>IFERROR(VLOOKUP(_2__Ferramental_AST[[#This Row],[ID]],CHECK_ACUM!A:A,1,0),"NOVO")</f>
        <v>7463</v>
      </c>
    </row>
    <row r="125" spans="1:4" hidden="1" x14ac:dyDescent="0.35">
      <c r="A125" s="1">
        <v>7462</v>
      </c>
      <c r="B125" s="3">
        <v>46296.475694444445</v>
      </c>
      <c r="C125" s="21" t="s">
        <v>19</v>
      </c>
      <c r="D125" s="21">
        <f>IFERROR(VLOOKUP(_2__Ferramental_AST[[#This Row],[ID]],CHECK_ACUM!A:A,1,0),"NOVO")</f>
        <v>7462</v>
      </c>
    </row>
    <row r="126" spans="1:4" hidden="1" x14ac:dyDescent="0.35">
      <c r="A126" s="1">
        <v>7461</v>
      </c>
      <c r="B126" s="3">
        <v>46296.474305555559</v>
      </c>
      <c r="C126" s="21" t="s">
        <v>19</v>
      </c>
      <c r="D126" s="21">
        <f>IFERROR(VLOOKUP(_2__Ferramental_AST[[#This Row],[ID]],CHECK_ACUM!A:A,1,0),"NOVO")</f>
        <v>7461</v>
      </c>
    </row>
    <row r="127" spans="1:4" hidden="1" x14ac:dyDescent="0.35">
      <c r="A127" s="1">
        <v>7460</v>
      </c>
      <c r="B127" s="3">
        <v>46295.581944444442</v>
      </c>
      <c r="C127" s="21" t="s">
        <v>3</v>
      </c>
      <c r="D127" s="21">
        <f>IFERROR(VLOOKUP(_2__Ferramental_AST[[#This Row],[ID]],CHECK_ACUM!A:A,1,0),"NOVO")</f>
        <v>7460</v>
      </c>
    </row>
    <row r="128" spans="1:4" hidden="1" x14ac:dyDescent="0.35">
      <c r="A128" s="1">
        <v>7457</v>
      </c>
      <c r="B128" s="3">
        <v>46294.790972222225</v>
      </c>
      <c r="C128" s="21" t="s">
        <v>5</v>
      </c>
      <c r="D128" s="21">
        <f>IFERROR(VLOOKUP(_2__Ferramental_AST[[#This Row],[ID]],CHECK_ACUM!A:A,1,0),"NOVO")</f>
        <v>7457</v>
      </c>
    </row>
    <row r="129" spans="1:4" hidden="1" x14ac:dyDescent="0.35">
      <c r="A129" s="1">
        <v>7456</v>
      </c>
      <c r="B129" s="3">
        <v>46294.787499999999</v>
      </c>
      <c r="C129" s="21" t="s">
        <v>5</v>
      </c>
      <c r="D129" s="21">
        <f>IFERROR(VLOOKUP(_2__Ferramental_AST[[#This Row],[ID]],CHECK_ACUM!A:A,1,0),"NOVO")</f>
        <v>7456</v>
      </c>
    </row>
    <row r="130" spans="1:4" hidden="1" x14ac:dyDescent="0.35">
      <c r="A130" s="1">
        <v>7455</v>
      </c>
      <c r="B130" s="3">
        <v>46294.757638888892</v>
      </c>
      <c r="C130" s="21" t="s">
        <v>5</v>
      </c>
      <c r="D130" s="21">
        <f>IFERROR(VLOOKUP(_2__Ferramental_AST[[#This Row],[ID]],CHECK_ACUM!A:A,1,0),"NOVO")</f>
        <v>7455</v>
      </c>
    </row>
    <row r="131" spans="1:4" hidden="1" x14ac:dyDescent="0.35">
      <c r="A131" s="1">
        <v>7453</v>
      </c>
      <c r="B131" s="3">
        <v>46293.731944444444</v>
      </c>
      <c r="C131" s="21" t="s">
        <v>24</v>
      </c>
      <c r="D131" s="21">
        <f>IFERROR(VLOOKUP(_2__Ferramental_AST[[#This Row],[ID]],CHECK_ACUM!A:A,1,0),"NOVO")</f>
        <v>7453</v>
      </c>
    </row>
    <row r="132" spans="1:4" hidden="1" x14ac:dyDescent="0.35">
      <c r="A132" s="1">
        <v>7452</v>
      </c>
      <c r="B132" s="3">
        <v>46293.567361111112</v>
      </c>
      <c r="C132" s="21" t="s">
        <v>3</v>
      </c>
      <c r="D132" s="21">
        <f>IFERROR(VLOOKUP(_2__Ferramental_AST[[#This Row],[ID]],CHECK_ACUM!A:A,1,0),"NOVO")</f>
        <v>7452</v>
      </c>
    </row>
    <row r="133" spans="1:4" hidden="1" x14ac:dyDescent="0.35">
      <c r="A133" s="1">
        <v>7450</v>
      </c>
      <c r="B133" s="3">
        <v>46290.431944444441</v>
      </c>
      <c r="C133" s="21" t="s">
        <v>9</v>
      </c>
      <c r="D133" s="21">
        <f>IFERROR(VLOOKUP(_2__Ferramental_AST[[#This Row],[ID]],CHECK_ACUM!A:A,1,0),"NOVO")</f>
        <v>7450</v>
      </c>
    </row>
    <row r="134" spans="1:4" hidden="1" x14ac:dyDescent="0.35">
      <c r="A134" s="1">
        <v>7449</v>
      </c>
      <c r="B134" s="3">
        <v>46290.431250000001</v>
      </c>
      <c r="C134" s="21" t="s">
        <v>9</v>
      </c>
      <c r="D134" s="21">
        <f>IFERROR(VLOOKUP(_2__Ferramental_AST[[#This Row],[ID]],CHECK_ACUM!A:A,1,0),"NOVO")</f>
        <v>7449</v>
      </c>
    </row>
    <row r="135" spans="1:4" hidden="1" x14ac:dyDescent="0.35">
      <c r="A135" s="1">
        <v>7448</v>
      </c>
      <c r="B135" s="3">
        <v>46290.388194444444</v>
      </c>
      <c r="C135" s="21" t="s">
        <v>24</v>
      </c>
      <c r="D135" s="21">
        <f>IFERROR(VLOOKUP(_2__Ferramental_AST[[#This Row],[ID]],CHECK_ACUM!A:A,1,0),"NOVO")</f>
        <v>7448</v>
      </c>
    </row>
    <row r="136" spans="1:4" hidden="1" x14ac:dyDescent="0.35">
      <c r="A136" s="1">
        <v>7447</v>
      </c>
      <c r="B136" s="3">
        <v>46290.386805555558</v>
      </c>
      <c r="C136" s="21" t="s">
        <v>24</v>
      </c>
      <c r="D136" s="21">
        <f>IFERROR(VLOOKUP(_2__Ferramental_AST[[#This Row],[ID]],CHECK_ACUM!A:A,1,0),"NOVO")</f>
        <v>7447</v>
      </c>
    </row>
    <row r="137" spans="1:4" hidden="1" x14ac:dyDescent="0.35">
      <c r="A137" s="1">
        <v>7446</v>
      </c>
      <c r="B137" s="3">
        <v>46290.386111111111</v>
      </c>
      <c r="C137" s="21" t="s">
        <v>24</v>
      </c>
      <c r="D137" s="21">
        <f>IFERROR(VLOOKUP(_2__Ferramental_AST[[#This Row],[ID]],CHECK_ACUM!A:A,1,0),"NOVO")</f>
        <v>7446</v>
      </c>
    </row>
    <row r="138" spans="1:4" hidden="1" x14ac:dyDescent="0.35">
      <c r="A138" s="1">
        <v>7445</v>
      </c>
      <c r="B138" s="3">
        <v>46288.646527777775</v>
      </c>
      <c r="C138" s="21" t="s">
        <v>28</v>
      </c>
      <c r="D138" s="21">
        <f>IFERROR(VLOOKUP(_2__Ferramental_AST[[#This Row],[ID]],CHECK_ACUM!A:A,1,0),"NOVO")</f>
        <v>7445</v>
      </c>
    </row>
    <row r="139" spans="1:4" hidden="1" x14ac:dyDescent="0.35">
      <c r="A139" s="1">
        <v>7444</v>
      </c>
      <c r="B139" s="3">
        <v>46288.645833333336</v>
      </c>
      <c r="C139" s="21" t="s">
        <v>28</v>
      </c>
      <c r="D139" s="21">
        <f>IFERROR(VLOOKUP(_2__Ferramental_AST[[#This Row],[ID]],CHECK_ACUM!A:A,1,0),"NOVO")</f>
        <v>7444</v>
      </c>
    </row>
    <row r="140" spans="1:4" hidden="1" x14ac:dyDescent="0.35">
      <c r="A140" s="1">
        <v>7443</v>
      </c>
      <c r="B140" s="3">
        <v>46288.64166666667</v>
      </c>
      <c r="C140" s="21" t="s">
        <v>28</v>
      </c>
      <c r="D140" s="21">
        <f>IFERROR(VLOOKUP(_2__Ferramental_AST[[#This Row],[ID]],CHECK_ACUM!A:A,1,0),"NOVO")</f>
        <v>7443</v>
      </c>
    </row>
    <row r="141" spans="1:4" hidden="1" x14ac:dyDescent="0.35">
      <c r="A141" s="1">
        <v>7442</v>
      </c>
      <c r="B141" s="3">
        <v>46288.59097222222</v>
      </c>
      <c r="C141" s="21" t="s">
        <v>21</v>
      </c>
      <c r="D141" s="21">
        <f>IFERROR(VLOOKUP(_2__Ferramental_AST[[#This Row],[ID]],CHECK_ACUM!A:A,1,0),"NOVO")</f>
        <v>7442</v>
      </c>
    </row>
    <row r="142" spans="1:4" hidden="1" x14ac:dyDescent="0.35">
      <c r="A142" s="1">
        <v>7441</v>
      </c>
      <c r="B142" s="3">
        <v>46288.386805555558</v>
      </c>
      <c r="C142" s="21" t="s">
        <v>21</v>
      </c>
      <c r="D142" s="21">
        <f>IFERROR(VLOOKUP(_2__Ferramental_AST[[#This Row],[ID]],CHECK_ACUM!A:A,1,0),"NOVO")</f>
        <v>7441</v>
      </c>
    </row>
    <row r="143" spans="1:4" hidden="1" x14ac:dyDescent="0.35">
      <c r="A143" s="1">
        <v>7439</v>
      </c>
      <c r="B143" s="3">
        <v>46286.727083333331</v>
      </c>
      <c r="C143" s="21" t="s">
        <v>9</v>
      </c>
      <c r="D143" s="21">
        <f>IFERROR(VLOOKUP(_2__Ferramental_AST[[#This Row],[ID]],CHECK_ACUM!A:A,1,0),"NOVO")</f>
        <v>7439</v>
      </c>
    </row>
    <row r="144" spans="1:4" hidden="1" x14ac:dyDescent="0.35">
      <c r="A144" s="1">
        <v>7438</v>
      </c>
      <c r="B144" s="3">
        <v>46286.689583333333</v>
      </c>
      <c r="C144" s="21" t="s">
        <v>3</v>
      </c>
      <c r="D144" s="21">
        <f>IFERROR(VLOOKUP(_2__Ferramental_AST[[#This Row],[ID]],CHECK_ACUM!A:A,1,0),"NOVO")</f>
        <v>7438</v>
      </c>
    </row>
    <row r="145" spans="1:4" hidden="1" x14ac:dyDescent="0.35">
      <c r="A145" s="1">
        <v>7437</v>
      </c>
      <c r="B145" s="3">
        <v>46286.661111111112</v>
      </c>
      <c r="C145" s="21" t="s">
        <v>3</v>
      </c>
      <c r="D145" s="21">
        <f>IFERROR(VLOOKUP(_2__Ferramental_AST[[#This Row],[ID]],CHECK_ACUM!A:A,1,0),"NOVO")</f>
        <v>7437</v>
      </c>
    </row>
    <row r="146" spans="1:4" hidden="1" x14ac:dyDescent="0.35">
      <c r="A146" s="1">
        <v>7435</v>
      </c>
      <c r="B146" s="3">
        <v>46283.544444444444</v>
      </c>
      <c r="C146" s="21" t="s">
        <v>3</v>
      </c>
      <c r="D146" s="21">
        <f>IFERROR(VLOOKUP(_2__Ferramental_AST[[#This Row],[ID]],CHECK_ACUM!A:A,1,0),"NOVO")</f>
        <v>7435</v>
      </c>
    </row>
    <row r="147" spans="1:4" hidden="1" x14ac:dyDescent="0.35">
      <c r="A147" s="1">
        <v>7434</v>
      </c>
      <c r="B147" s="3">
        <v>46283.451388888891</v>
      </c>
      <c r="C147" s="21" t="s">
        <v>19</v>
      </c>
      <c r="D147" s="21">
        <f>IFERROR(VLOOKUP(_2__Ferramental_AST[[#This Row],[ID]],CHECK_ACUM!A:A,1,0),"NOVO")</f>
        <v>7434</v>
      </c>
    </row>
    <row r="148" spans="1:4" hidden="1" x14ac:dyDescent="0.35">
      <c r="A148" s="1">
        <v>7429</v>
      </c>
      <c r="B148" s="3">
        <v>46282.378472222219</v>
      </c>
      <c r="C148" s="21" t="s">
        <v>19</v>
      </c>
      <c r="D148" s="21">
        <f>IFERROR(VLOOKUP(_2__Ferramental_AST[[#This Row],[ID]],CHECK_ACUM!A:A,1,0),"NOVO")</f>
        <v>7429</v>
      </c>
    </row>
    <row r="149" spans="1:4" hidden="1" x14ac:dyDescent="0.35">
      <c r="A149" s="1">
        <v>7428</v>
      </c>
      <c r="B149" s="3">
        <v>46282.286805555559</v>
      </c>
      <c r="C149" s="21" t="s">
        <v>19</v>
      </c>
      <c r="D149" s="21">
        <f>IFERROR(VLOOKUP(_2__Ferramental_AST[[#This Row],[ID]],CHECK_ACUM!A:A,1,0),"NOVO")</f>
        <v>7428</v>
      </c>
    </row>
    <row r="150" spans="1:4" hidden="1" x14ac:dyDescent="0.35">
      <c r="A150" s="1">
        <v>7427</v>
      </c>
      <c r="B150" s="3">
        <v>46281.697222222225</v>
      </c>
      <c r="C150" s="21" t="s">
        <v>9</v>
      </c>
      <c r="D150" s="21">
        <f>IFERROR(VLOOKUP(_2__Ferramental_AST[[#This Row],[ID]],CHECK_ACUM!A:A,1,0),"NOVO")</f>
        <v>7427</v>
      </c>
    </row>
    <row r="151" spans="1:4" hidden="1" x14ac:dyDescent="0.35">
      <c r="A151" s="1">
        <v>7420</v>
      </c>
      <c r="B151" s="3">
        <v>46281.550694444442</v>
      </c>
      <c r="C151" s="21" t="s">
        <v>3</v>
      </c>
      <c r="D151" s="21">
        <f>IFERROR(VLOOKUP(_2__Ferramental_AST[[#This Row],[ID]],CHECK_ACUM!A:A,1,0),"NOVO")</f>
        <v>7420</v>
      </c>
    </row>
    <row r="152" spans="1:4" hidden="1" x14ac:dyDescent="0.35">
      <c r="A152" s="1">
        <v>7419</v>
      </c>
      <c r="B152" s="3">
        <v>46281.430555555555</v>
      </c>
      <c r="C152" s="21" t="s">
        <v>3</v>
      </c>
      <c r="D152" s="21">
        <f>IFERROR(VLOOKUP(_2__Ferramental_AST[[#This Row],[ID]],CHECK_ACUM!A:A,1,0),"NOVO")</f>
        <v>7419</v>
      </c>
    </row>
    <row r="153" spans="1:4" hidden="1" x14ac:dyDescent="0.35">
      <c r="A153" s="1">
        <v>7417</v>
      </c>
      <c r="B153" s="3">
        <v>46280.645138888889</v>
      </c>
      <c r="C153" s="21" t="s">
        <v>28</v>
      </c>
      <c r="D153" s="21">
        <f>IFERROR(VLOOKUP(_2__Ferramental_AST[[#This Row],[ID]],CHECK_ACUM!A:A,1,0),"NOVO")</f>
        <v>7417</v>
      </c>
    </row>
    <row r="154" spans="1:4" hidden="1" x14ac:dyDescent="0.35">
      <c r="A154" s="1">
        <v>7416</v>
      </c>
      <c r="B154" s="3">
        <v>46280.503472222219</v>
      </c>
      <c r="C154" s="21" t="s">
        <v>24</v>
      </c>
      <c r="D154" s="21">
        <f>IFERROR(VLOOKUP(_2__Ferramental_AST[[#This Row],[ID]],CHECK_ACUM!A:A,1,0),"NOVO")</f>
        <v>7416</v>
      </c>
    </row>
    <row r="155" spans="1:4" hidden="1" x14ac:dyDescent="0.35">
      <c r="A155" s="1">
        <v>7415</v>
      </c>
      <c r="B155" s="3">
        <v>46280.50277777778</v>
      </c>
      <c r="C155" s="21" t="s">
        <v>9</v>
      </c>
      <c r="D155" s="21">
        <f>IFERROR(VLOOKUP(_2__Ferramental_AST[[#This Row],[ID]],CHECK_ACUM!A:A,1,0),"NOVO")</f>
        <v>7415</v>
      </c>
    </row>
    <row r="156" spans="1:4" hidden="1" x14ac:dyDescent="0.35">
      <c r="A156" s="1">
        <v>7414</v>
      </c>
      <c r="B156" s="3">
        <v>46280.502083333333</v>
      </c>
      <c r="C156" s="21" t="s">
        <v>24</v>
      </c>
      <c r="D156" s="21">
        <f>IFERROR(VLOOKUP(_2__Ferramental_AST[[#This Row],[ID]],CHECK_ACUM!A:A,1,0),"NOVO")</f>
        <v>7414</v>
      </c>
    </row>
    <row r="157" spans="1:4" hidden="1" x14ac:dyDescent="0.35">
      <c r="A157" s="1">
        <v>7413</v>
      </c>
      <c r="B157" s="3">
        <v>46280.501388888886</v>
      </c>
      <c r="C157" s="21" t="s">
        <v>24</v>
      </c>
      <c r="D157" s="21">
        <f>IFERROR(VLOOKUP(_2__Ferramental_AST[[#This Row],[ID]],CHECK_ACUM!A:A,1,0),"NOVO")</f>
        <v>7413</v>
      </c>
    </row>
    <row r="158" spans="1:4" hidden="1" x14ac:dyDescent="0.35">
      <c r="A158" s="1">
        <v>7412</v>
      </c>
      <c r="B158" s="3">
        <v>46280.501388888886</v>
      </c>
      <c r="C158" s="21" t="s">
        <v>24</v>
      </c>
      <c r="D158" s="21">
        <f>IFERROR(VLOOKUP(_2__Ferramental_AST[[#This Row],[ID]],CHECK_ACUM!A:A,1,0),"NOVO")</f>
        <v>7412</v>
      </c>
    </row>
    <row r="159" spans="1:4" hidden="1" x14ac:dyDescent="0.35">
      <c r="A159" s="1">
        <v>7411</v>
      </c>
      <c r="B159" s="3">
        <v>46280.500694444447</v>
      </c>
      <c r="C159" s="21" t="s">
        <v>24</v>
      </c>
      <c r="D159" s="21">
        <f>IFERROR(VLOOKUP(_2__Ferramental_AST[[#This Row],[ID]],CHECK_ACUM!A:A,1,0),"NOVO")</f>
        <v>7411</v>
      </c>
    </row>
    <row r="160" spans="1:4" hidden="1" x14ac:dyDescent="0.35">
      <c r="A160" s="1">
        <v>7410</v>
      </c>
      <c r="B160" s="3">
        <v>46280.499305555553</v>
      </c>
      <c r="C160" s="21" t="s">
        <v>24</v>
      </c>
      <c r="D160" s="21">
        <f>IFERROR(VLOOKUP(_2__Ferramental_AST[[#This Row],[ID]],CHECK_ACUM!A:A,1,0),"NOVO")</f>
        <v>7410</v>
      </c>
    </row>
    <row r="161" spans="1:4" hidden="1" x14ac:dyDescent="0.35">
      <c r="A161" s="1">
        <v>7409</v>
      </c>
      <c r="B161" s="3">
        <v>46280.482638888891</v>
      </c>
      <c r="C161" s="21" t="s">
        <v>9</v>
      </c>
      <c r="D161" s="21">
        <f>IFERROR(VLOOKUP(_2__Ferramental_AST[[#This Row],[ID]],CHECK_ACUM!A:A,1,0),"NOVO")</f>
        <v>7409</v>
      </c>
    </row>
    <row r="162" spans="1:4" hidden="1" x14ac:dyDescent="0.35">
      <c r="A162" s="1">
        <v>7408</v>
      </c>
      <c r="B162" s="3">
        <v>46280.376388888886</v>
      </c>
      <c r="C162" s="21" t="s">
        <v>19</v>
      </c>
      <c r="D162" s="21">
        <f>IFERROR(VLOOKUP(_2__Ferramental_AST[[#This Row],[ID]],CHECK_ACUM!A:A,1,0),"NOVO")</f>
        <v>7408</v>
      </c>
    </row>
    <row r="163" spans="1:4" hidden="1" x14ac:dyDescent="0.35">
      <c r="A163" s="1">
        <v>7403</v>
      </c>
      <c r="B163" s="3">
        <v>46279.615277777775</v>
      </c>
      <c r="C163" s="21" t="s">
        <v>3</v>
      </c>
      <c r="D163" s="21">
        <f>IFERROR(VLOOKUP(_2__Ferramental_AST[[#This Row],[ID]],CHECK_ACUM!A:A,1,0),"NOVO")</f>
        <v>7403</v>
      </c>
    </row>
    <row r="164" spans="1:4" hidden="1" x14ac:dyDescent="0.35">
      <c r="A164" s="1">
        <v>7402</v>
      </c>
      <c r="B164" s="3">
        <v>46279.586111111108</v>
      </c>
      <c r="C164" s="21" t="s">
        <v>28</v>
      </c>
      <c r="D164" s="21">
        <f>IFERROR(VLOOKUP(_2__Ferramental_AST[[#This Row],[ID]],CHECK_ACUM!A:A,1,0),"NOVO")</f>
        <v>7402</v>
      </c>
    </row>
    <row r="165" spans="1:4" hidden="1" x14ac:dyDescent="0.35">
      <c r="A165" s="1">
        <v>7401</v>
      </c>
      <c r="B165" s="3">
        <v>46279.552083333336</v>
      </c>
      <c r="C165" s="21" t="s">
        <v>3</v>
      </c>
      <c r="D165" s="21">
        <f>IFERROR(VLOOKUP(_2__Ferramental_AST[[#This Row],[ID]],CHECK_ACUM!A:A,1,0),"NOVO")</f>
        <v>7401</v>
      </c>
    </row>
    <row r="166" spans="1:4" hidden="1" x14ac:dyDescent="0.35">
      <c r="A166" s="1">
        <v>7399</v>
      </c>
      <c r="B166" s="3">
        <v>46279.404861111114</v>
      </c>
      <c r="C166" s="21" t="s">
        <v>34</v>
      </c>
      <c r="D166" s="21">
        <f>IFERROR(VLOOKUP(_2__Ferramental_AST[[#This Row],[ID]],CHECK_ACUM!A:A,1,0),"NOVO")</f>
        <v>7399</v>
      </c>
    </row>
    <row r="167" spans="1:4" hidden="1" x14ac:dyDescent="0.35">
      <c r="A167" s="1">
        <v>7398</v>
      </c>
      <c r="B167" s="3">
        <v>46279.40347222222</v>
      </c>
      <c r="C167" s="21" t="s">
        <v>34</v>
      </c>
      <c r="D167" s="21">
        <f>IFERROR(VLOOKUP(_2__Ferramental_AST[[#This Row],[ID]],CHECK_ACUM!A:A,1,0),"NOVO")</f>
        <v>7398</v>
      </c>
    </row>
    <row r="168" spans="1:4" hidden="1" x14ac:dyDescent="0.35">
      <c r="A168" s="1">
        <v>7397</v>
      </c>
      <c r="B168" s="3">
        <v>46279.402777777781</v>
      </c>
      <c r="C168" s="21" t="s">
        <v>34</v>
      </c>
      <c r="D168" s="21">
        <f>IFERROR(VLOOKUP(_2__Ferramental_AST[[#This Row],[ID]],CHECK_ACUM!A:A,1,0),"NOVO")</f>
        <v>7397</v>
      </c>
    </row>
    <row r="169" spans="1:4" hidden="1" x14ac:dyDescent="0.35">
      <c r="A169" s="1">
        <v>7396</v>
      </c>
      <c r="B169" s="3">
        <v>46279.401388888888</v>
      </c>
      <c r="C169" s="21" t="s">
        <v>34</v>
      </c>
      <c r="D169" s="21">
        <f>IFERROR(VLOOKUP(_2__Ferramental_AST[[#This Row],[ID]],CHECK_ACUM!A:A,1,0),"NOVO")</f>
        <v>7396</v>
      </c>
    </row>
    <row r="170" spans="1:4" hidden="1" x14ac:dyDescent="0.35">
      <c r="A170" s="1">
        <v>7395</v>
      </c>
      <c r="B170" s="3">
        <v>46279.399305555555</v>
      </c>
      <c r="C170" s="21" t="s">
        <v>34</v>
      </c>
      <c r="D170" s="21">
        <f>IFERROR(VLOOKUP(_2__Ferramental_AST[[#This Row],[ID]],CHECK_ACUM!A:A,1,0),"NOVO")</f>
        <v>7395</v>
      </c>
    </row>
    <row r="171" spans="1:4" hidden="1" x14ac:dyDescent="0.35">
      <c r="A171" s="1">
        <v>7394</v>
      </c>
      <c r="B171" s="3">
        <v>46279.397916666669</v>
      </c>
      <c r="C171" s="21" t="s">
        <v>34</v>
      </c>
      <c r="D171" s="21">
        <f>IFERROR(VLOOKUP(_2__Ferramental_AST[[#This Row],[ID]],CHECK_ACUM!A:A,1,0),"NOVO")</f>
        <v>7394</v>
      </c>
    </row>
    <row r="172" spans="1:4" hidden="1" x14ac:dyDescent="0.35">
      <c r="A172" s="1">
        <v>7393</v>
      </c>
      <c r="B172" s="3">
        <v>46279.397222222222</v>
      </c>
      <c r="C172" s="21" t="s">
        <v>34</v>
      </c>
      <c r="D172" s="21">
        <f>IFERROR(VLOOKUP(_2__Ferramental_AST[[#This Row],[ID]],CHECK_ACUM!A:A,1,0),"NOVO")</f>
        <v>7393</v>
      </c>
    </row>
    <row r="173" spans="1:4" hidden="1" x14ac:dyDescent="0.35">
      <c r="A173" s="1">
        <v>7392</v>
      </c>
      <c r="B173" s="3">
        <v>46279.397222222222</v>
      </c>
      <c r="C173" s="21" t="s">
        <v>19</v>
      </c>
      <c r="D173" s="21">
        <f>IFERROR(VLOOKUP(_2__Ferramental_AST[[#This Row],[ID]],CHECK_ACUM!A:A,1,0),"NOVO")</f>
        <v>7392</v>
      </c>
    </row>
    <row r="174" spans="1:4" hidden="1" x14ac:dyDescent="0.35">
      <c r="A174" s="1">
        <v>7391</v>
      </c>
      <c r="B174" s="3">
        <v>46279.395833333336</v>
      </c>
      <c r="C174" s="21" t="s">
        <v>19</v>
      </c>
      <c r="D174" s="21">
        <f>IFERROR(VLOOKUP(_2__Ferramental_AST[[#This Row],[ID]],CHECK_ACUM!A:A,1,0),"NOVO")</f>
        <v>7391</v>
      </c>
    </row>
    <row r="175" spans="1:4" hidden="1" x14ac:dyDescent="0.35">
      <c r="A175" s="1">
        <v>7390</v>
      </c>
      <c r="B175" s="3">
        <v>46279.395138888889</v>
      </c>
      <c r="C175" s="21" t="s">
        <v>34</v>
      </c>
      <c r="D175" s="21">
        <f>IFERROR(VLOOKUP(_2__Ferramental_AST[[#This Row],[ID]],CHECK_ACUM!A:A,1,0),"NOVO")</f>
        <v>7390</v>
      </c>
    </row>
    <row r="176" spans="1:4" hidden="1" x14ac:dyDescent="0.35">
      <c r="A176" s="1">
        <v>7389</v>
      </c>
      <c r="B176" s="3">
        <v>46279.393055555556</v>
      </c>
      <c r="C176" s="21" t="s">
        <v>34</v>
      </c>
      <c r="D176" s="21">
        <f>IFERROR(VLOOKUP(_2__Ferramental_AST[[#This Row],[ID]],CHECK_ACUM!A:A,1,0),"NOVO")</f>
        <v>7389</v>
      </c>
    </row>
    <row r="177" spans="1:4" hidden="1" x14ac:dyDescent="0.35">
      <c r="A177" s="1">
        <v>7388</v>
      </c>
      <c r="B177" s="3">
        <v>46279.39166666667</v>
      </c>
      <c r="C177" s="21" t="s">
        <v>34</v>
      </c>
      <c r="D177" s="21">
        <f>IFERROR(VLOOKUP(_2__Ferramental_AST[[#This Row],[ID]],CHECK_ACUM!A:A,1,0),"NOVO")</f>
        <v>7388</v>
      </c>
    </row>
    <row r="178" spans="1:4" hidden="1" x14ac:dyDescent="0.35">
      <c r="A178" s="1">
        <v>7387</v>
      </c>
      <c r="B178" s="3">
        <v>46279.390277777777</v>
      </c>
      <c r="C178" s="21" t="s">
        <v>34</v>
      </c>
      <c r="D178" s="21">
        <f>IFERROR(VLOOKUP(_2__Ferramental_AST[[#This Row],[ID]],CHECK_ACUM!A:A,1,0),"NOVO")</f>
        <v>7387</v>
      </c>
    </row>
    <row r="179" spans="1:4" hidden="1" x14ac:dyDescent="0.35">
      <c r="A179" s="1">
        <v>7386</v>
      </c>
      <c r="B179" s="3">
        <v>46279.388888888891</v>
      </c>
      <c r="C179" s="21" t="s">
        <v>34</v>
      </c>
      <c r="D179" s="21">
        <f>IFERROR(VLOOKUP(_2__Ferramental_AST[[#This Row],[ID]],CHECK_ACUM!A:A,1,0),"NOVO")</f>
        <v>7386</v>
      </c>
    </row>
    <row r="180" spans="1:4" hidden="1" x14ac:dyDescent="0.35">
      <c r="A180" s="1">
        <v>7385</v>
      </c>
      <c r="B180" s="3">
        <v>46279.386805555558</v>
      </c>
      <c r="C180" s="21" t="s">
        <v>34</v>
      </c>
      <c r="D180" s="21">
        <f>IFERROR(VLOOKUP(_2__Ferramental_AST[[#This Row],[ID]],CHECK_ACUM!A:A,1,0),"NOVO")</f>
        <v>7385</v>
      </c>
    </row>
    <row r="181" spans="1:4" hidden="1" x14ac:dyDescent="0.35">
      <c r="A181" s="1">
        <v>7384</v>
      </c>
      <c r="B181" s="3">
        <v>46279.386111111111</v>
      </c>
      <c r="C181" s="21" t="s">
        <v>34</v>
      </c>
      <c r="D181" s="21">
        <f>IFERROR(VLOOKUP(_2__Ferramental_AST[[#This Row],[ID]],CHECK_ACUM!A:A,1,0),"NOVO")</f>
        <v>7384</v>
      </c>
    </row>
    <row r="182" spans="1:4" hidden="1" x14ac:dyDescent="0.35">
      <c r="A182" s="1">
        <v>7383</v>
      </c>
      <c r="B182" s="3">
        <v>46279.384722222225</v>
      </c>
      <c r="C182" s="21" t="s">
        <v>34</v>
      </c>
      <c r="D182" s="21">
        <f>IFERROR(VLOOKUP(_2__Ferramental_AST[[#This Row],[ID]],CHECK_ACUM!A:A,1,0),"NOVO")</f>
        <v>7383</v>
      </c>
    </row>
    <row r="183" spans="1:4" hidden="1" x14ac:dyDescent="0.35">
      <c r="A183" s="1">
        <v>7382</v>
      </c>
      <c r="B183" s="3">
        <v>46279.382638888892</v>
      </c>
      <c r="C183" s="21" t="s">
        <v>34</v>
      </c>
      <c r="D183" s="21">
        <f>IFERROR(VLOOKUP(_2__Ferramental_AST[[#This Row],[ID]],CHECK_ACUM!A:A,1,0),"NOVO")</f>
        <v>7382</v>
      </c>
    </row>
    <row r="184" spans="1:4" hidden="1" x14ac:dyDescent="0.35">
      <c r="A184" s="1">
        <v>7381</v>
      </c>
      <c r="B184" s="3">
        <v>46279.381249999999</v>
      </c>
      <c r="C184" s="21" t="s">
        <v>34</v>
      </c>
      <c r="D184" s="21">
        <f>IFERROR(VLOOKUP(_2__Ferramental_AST[[#This Row],[ID]],CHECK_ACUM!A:A,1,0),"NOVO")</f>
        <v>7381</v>
      </c>
    </row>
    <row r="185" spans="1:4" hidden="1" x14ac:dyDescent="0.35">
      <c r="A185" s="1">
        <v>7380</v>
      </c>
      <c r="B185" s="3">
        <v>46279.380555555559</v>
      </c>
      <c r="C185" s="21" t="s">
        <v>34</v>
      </c>
      <c r="D185" s="21">
        <f>IFERROR(VLOOKUP(_2__Ferramental_AST[[#This Row],[ID]],CHECK_ACUM!A:A,1,0),"NOVO")</f>
        <v>7380</v>
      </c>
    </row>
    <row r="186" spans="1:4" hidden="1" x14ac:dyDescent="0.35">
      <c r="A186" s="1">
        <v>7379</v>
      </c>
      <c r="B186" s="3">
        <v>46279.379166666666</v>
      </c>
      <c r="C186" s="21" t="s">
        <v>34</v>
      </c>
      <c r="D186" s="21">
        <f>IFERROR(VLOOKUP(_2__Ferramental_AST[[#This Row],[ID]],CHECK_ACUM!A:A,1,0),"NOVO")</f>
        <v>7379</v>
      </c>
    </row>
    <row r="187" spans="1:4" hidden="1" x14ac:dyDescent="0.35">
      <c r="A187" s="1">
        <v>7378</v>
      </c>
      <c r="B187" s="3">
        <v>46279.37777777778</v>
      </c>
      <c r="C187" s="21" t="s">
        <v>34</v>
      </c>
      <c r="D187" s="21">
        <f>IFERROR(VLOOKUP(_2__Ferramental_AST[[#This Row],[ID]],CHECK_ACUM!A:A,1,0),"NOVO")</f>
        <v>7378</v>
      </c>
    </row>
    <row r="188" spans="1:4" hidden="1" x14ac:dyDescent="0.35">
      <c r="A188" s="1">
        <v>7377</v>
      </c>
      <c r="B188" s="3">
        <v>46279.377083333333</v>
      </c>
      <c r="C188" s="21" t="s">
        <v>34</v>
      </c>
      <c r="D188" s="21">
        <f>IFERROR(VLOOKUP(_2__Ferramental_AST[[#This Row],[ID]],CHECK_ACUM!A:A,1,0),"NOVO")</f>
        <v>7377</v>
      </c>
    </row>
    <row r="189" spans="1:4" hidden="1" x14ac:dyDescent="0.35">
      <c r="A189" s="1">
        <v>7376</v>
      </c>
      <c r="B189" s="3">
        <v>46279.375694444447</v>
      </c>
      <c r="C189" s="21" t="s">
        <v>34</v>
      </c>
      <c r="D189" s="21">
        <f>IFERROR(VLOOKUP(_2__Ferramental_AST[[#This Row],[ID]],CHECK_ACUM!A:A,1,0),"NOVO")</f>
        <v>7376</v>
      </c>
    </row>
    <row r="190" spans="1:4" hidden="1" x14ac:dyDescent="0.35">
      <c r="A190" s="1">
        <v>7375</v>
      </c>
      <c r="B190" s="3">
        <v>46279.375</v>
      </c>
      <c r="C190" s="21" t="s">
        <v>34</v>
      </c>
      <c r="D190" s="21">
        <f>IFERROR(VLOOKUP(_2__Ferramental_AST[[#This Row],[ID]],CHECK_ACUM!A:A,1,0),"NOVO")</f>
        <v>7375</v>
      </c>
    </row>
    <row r="191" spans="1:4" hidden="1" x14ac:dyDescent="0.35">
      <c r="A191" s="1">
        <v>7374</v>
      </c>
      <c r="B191" s="3">
        <v>46279.374305555553</v>
      </c>
      <c r="C191" s="21" t="s">
        <v>34</v>
      </c>
      <c r="D191" s="21">
        <f>IFERROR(VLOOKUP(_2__Ferramental_AST[[#This Row],[ID]],CHECK_ACUM!A:A,1,0),"NOVO")</f>
        <v>7374</v>
      </c>
    </row>
    <row r="192" spans="1:4" hidden="1" x14ac:dyDescent="0.35">
      <c r="A192" s="1">
        <v>7373</v>
      </c>
      <c r="B192" s="3">
        <v>46279.372916666667</v>
      </c>
      <c r="C192" s="21" t="s">
        <v>34</v>
      </c>
      <c r="D192" s="21">
        <f>IFERROR(VLOOKUP(_2__Ferramental_AST[[#This Row],[ID]],CHECK_ACUM!A:A,1,0),"NOVO")</f>
        <v>7373</v>
      </c>
    </row>
    <row r="193" spans="1:4" hidden="1" x14ac:dyDescent="0.35">
      <c r="A193" s="1">
        <v>7372</v>
      </c>
      <c r="B193" s="3">
        <v>46276.71875</v>
      </c>
      <c r="C193" s="21" t="s">
        <v>9</v>
      </c>
      <c r="D193" s="21">
        <f>IFERROR(VLOOKUP(_2__Ferramental_AST[[#This Row],[ID]],CHECK_ACUM!A:A,1,0),"NOVO")</f>
        <v>7372</v>
      </c>
    </row>
    <row r="194" spans="1:4" hidden="1" x14ac:dyDescent="0.35">
      <c r="A194" s="1">
        <v>7371</v>
      </c>
      <c r="B194" s="3">
        <v>46276.709027777775</v>
      </c>
      <c r="C194" s="21" t="s">
        <v>28</v>
      </c>
      <c r="D194" s="21">
        <f>IFERROR(VLOOKUP(_2__Ferramental_AST[[#This Row],[ID]],CHECK_ACUM!A:A,1,0),"NOVO")</f>
        <v>7371</v>
      </c>
    </row>
    <row r="195" spans="1:4" hidden="1" x14ac:dyDescent="0.35">
      <c r="A195" s="1">
        <v>7370</v>
      </c>
      <c r="B195" s="3">
        <v>46276.708333333336</v>
      </c>
      <c r="C195" s="21" t="s">
        <v>28</v>
      </c>
      <c r="D195" s="21">
        <f>IFERROR(VLOOKUP(_2__Ferramental_AST[[#This Row],[ID]],CHECK_ACUM!A:A,1,0),"NOVO")</f>
        <v>7370</v>
      </c>
    </row>
    <row r="196" spans="1:4" hidden="1" x14ac:dyDescent="0.35">
      <c r="A196" s="1">
        <v>7369</v>
      </c>
      <c r="B196" s="3">
        <v>46276.696527777778</v>
      </c>
      <c r="C196" s="21" t="s">
        <v>24</v>
      </c>
      <c r="D196" s="21">
        <f>IFERROR(VLOOKUP(_2__Ferramental_AST[[#This Row],[ID]],CHECK_ACUM!A:A,1,0),"NOVO")</f>
        <v>7369</v>
      </c>
    </row>
    <row r="197" spans="1:4" hidden="1" x14ac:dyDescent="0.35">
      <c r="A197" s="1">
        <v>7368</v>
      </c>
      <c r="B197" s="3">
        <v>46276.618055555555</v>
      </c>
      <c r="C197" s="21" t="s">
        <v>3</v>
      </c>
      <c r="D197" s="21">
        <f>IFERROR(VLOOKUP(_2__Ferramental_AST[[#This Row],[ID]],CHECK_ACUM!A:A,1,0),"NOVO")</f>
        <v>7368</v>
      </c>
    </row>
    <row r="198" spans="1:4" hidden="1" x14ac:dyDescent="0.35">
      <c r="A198" s="1">
        <v>7367</v>
      </c>
      <c r="B198" s="3">
        <v>46276.578472222223</v>
      </c>
      <c r="C198" s="21" t="s">
        <v>3</v>
      </c>
      <c r="D198" s="21">
        <f>IFERROR(VLOOKUP(_2__Ferramental_AST[[#This Row],[ID]],CHECK_ACUM!A:A,1,0),"NOVO")</f>
        <v>7367</v>
      </c>
    </row>
    <row r="199" spans="1:4" hidden="1" x14ac:dyDescent="0.35">
      <c r="A199" s="1">
        <v>7365</v>
      </c>
      <c r="B199" s="3">
        <v>46275.713194444441</v>
      </c>
      <c r="C199" s="21" t="s">
        <v>5</v>
      </c>
      <c r="D199" s="21">
        <f>IFERROR(VLOOKUP(_2__Ferramental_AST[[#This Row],[ID]],CHECK_ACUM!A:A,1,0),"NOVO")</f>
        <v>7365</v>
      </c>
    </row>
    <row r="200" spans="1:4" hidden="1" x14ac:dyDescent="0.35">
      <c r="A200" s="1">
        <v>7364</v>
      </c>
      <c r="B200" s="3">
        <v>46275.710416666669</v>
      </c>
      <c r="C200" s="21" t="s">
        <v>5</v>
      </c>
      <c r="D200" s="2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13"/>
  <sheetViews>
    <sheetView showGridLines="0" topLeftCell="A793" workbookViewId="0">
      <selection activeCell="A813" sqref="A813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2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2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2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2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2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2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2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2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21">
        <f t="shared" si="16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94"/>
  <sheetViews>
    <sheetView showGridLines="0" workbookViewId="0">
      <selection sqref="A1:D129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8"/>
  <sheetViews>
    <sheetView showGridLines="0" topLeftCell="A2387" workbookViewId="0">
      <selection activeCell="A2409" sqref="A2409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2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2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2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2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2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2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8"/>
  <sheetViews>
    <sheetView showGridLines="0" topLeftCell="A205" workbookViewId="0">
      <selection activeCell="A228" sqref="A228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37"/>
  <sheetViews>
    <sheetView showGridLines="0" workbookViewId="0">
      <selection activeCell="A623" sqref="A623:C63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21" t="s">
        <v>74</v>
      </c>
      <c r="D2" s="2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21" t="s">
        <v>74</v>
      </c>
      <c r="D3" s="2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21" t="s">
        <v>24</v>
      </c>
      <c r="D4" s="2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21" t="s">
        <v>9</v>
      </c>
      <c r="D5" s="2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21" t="s">
        <v>24</v>
      </c>
      <c r="D6" s="2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21" t="s">
        <v>34</v>
      </c>
      <c r="D7" s="2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21" t="s">
        <v>34</v>
      </c>
      <c r="D8" s="2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21" t="s">
        <v>34</v>
      </c>
      <c r="D9" s="2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21" t="s">
        <v>9</v>
      </c>
      <c r="D10" s="2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21" t="s">
        <v>9</v>
      </c>
      <c r="D11" s="2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21" t="s">
        <v>9</v>
      </c>
      <c r="D12" s="2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21" t="s">
        <v>33</v>
      </c>
      <c r="D13" s="2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21" t="s">
        <v>21</v>
      </c>
      <c r="D14" s="2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21" t="s">
        <v>9</v>
      </c>
      <c r="D15" s="2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21" t="s">
        <v>5</v>
      </c>
      <c r="D16" s="2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21" t="s">
        <v>9</v>
      </c>
      <c r="D17" s="2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21" t="s">
        <v>34</v>
      </c>
      <c r="D18" s="2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21" t="s">
        <v>5</v>
      </c>
      <c r="D19" s="2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21" t="s">
        <v>5</v>
      </c>
      <c r="D20" s="2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21" t="s">
        <v>34</v>
      </c>
      <c r="D21" s="2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21" t="s">
        <v>5</v>
      </c>
      <c r="D22" s="2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21" t="s">
        <v>34</v>
      </c>
      <c r="D23" s="2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21" t="s">
        <v>33</v>
      </c>
      <c r="D24" s="2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21" t="s">
        <v>5</v>
      </c>
      <c r="D25" s="2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21" t="s">
        <v>28</v>
      </c>
      <c r="D26" s="2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21" t="s">
        <v>33</v>
      </c>
      <c r="D27" s="2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21" t="s">
        <v>5</v>
      </c>
      <c r="D28" s="2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21" t="s">
        <v>5</v>
      </c>
      <c r="D29" s="2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21" t="s">
        <v>5</v>
      </c>
      <c r="D30" s="2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21" t="s">
        <v>21</v>
      </c>
      <c r="D31" s="2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21" t="s">
        <v>24</v>
      </c>
      <c r="D32" s="2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21" t="s">
        <v>24</v>
      </c>
      <c r="D33" s="2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21" t="s">
        <v>28</v>
      </c>
      <c r="D34" s="2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21" t="s">
        <v>24</v>
      </c>
      <c r="D35" s="2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21" t="s">
        <v>9</v>
      </c>
      <c r="D36" s="2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21" t="s">
        <v>9</v>
      </c>
      <c r="D37" s="2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21" t="s">
        <v>24</v>
      </c>
      <c r="D38" s="2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21" t="s">
        <v>33</v>
      </c>
      <c r="D39" s="2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21" t="s">
        <v>33</v>
      </c>
      <c r="D40" s="2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21" t="s">
        <v>33</v>
      </c>
      <c r="D41" s="2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21" t="s">
        <v>28</v>
      </c>
      <c r="D42" s="2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21" t="s">
        <v>22</v>
      </c>
      <c r="D43" s="2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21" t="s">
        <v>33</v>
      </c>
      <c r="D44" s="2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21" t="s">
        <v>33</v>
      </c>
      <c r="D45" s="2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21" t="s">
        <v>33</v>
      </c>
      <c r="D46" s="2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21" t="s">
        <v>22</v>
      </c>
      <c r="D47" s="2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21" t="s">
        <v>22</v>
      </c>
      <c r="D48" s="2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21" t="s">
        <v>28</v>
      </c>
      <c r="D49" s="2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21" t="s">
        <v>5</v>
      </c>
      <c r="D50" s="2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21" t="s">
        <v>21</v>
      </c>
      <c r="D51" s="2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21" t="s">
        <v>28</v>
      </c>
      <c r="D52" s="2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21" t="s">
        <v>22</v>
      </c>
      <c r="D53" s="2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21" t="s">
        <v>22</v>
      </c>
      <c r="D54" s="2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21" t="s">
        <v>21</v>
      </c>
      <c r="D55" s="2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21" t="s">
        <v>21</v>
      </c>
      <c r="D56" s="2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21" t="s">
        <v>21</v>
      </c>
      <c r="D57" s="2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21" t="s">
        <v>22</v>
      </c>
      <c r="D58" s="2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21" t="s">
        <v>22</v>
      </c>
      <c r="D59" s="2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21" t="s">
        <v>21</v>
      </c>
      <c r="D60" s="2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21" t="s">
        <v>28</v>
      </c>
      <c r="D61" s="2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21" t="s">
        <v>75</v>
      </c>
      <c r="D62" s="2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21" t="s">
        <v>75</v>
      </c>
      <c r="D63" s="2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21" t="s">
        <v>75</v>
      </c>
      <c r="D64" s="2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21" t="s">
        <v>75</v>
      </c>
      <c r="D65" s="2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21" t="s">
        <v>75</v>
      </c>
      <c r="D66" s="2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21" t="s">
        <v>75</v>
      </c>
      <c r="D67" s="2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21" t="s">
        <v>75</v>
      </c>
      <c r="D68" s="2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21" t="s">
        <v>24</v>
      </c>
      <c r="D69" s="2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21" t="s">
        <v>22</v>
      </c>
      <c r="D70" s="2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21" t="s">
        <v>24</v>
      </c>
      <c r="D71" s="2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21" t="s">
        <v>24</v>
      </c>
      <c r="D72" s="2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21" t="s">
        <v>24</v>
      </c>
      <c r="D73" s="2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21" t="s">
        <v>24</v>
      </c>
      <c r="D74" s="2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21" t="s">
        <v>33</v>
      </c>
      <c r="D75" s="2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21" t="s">
        <v>5</v>
      </c>
      <c r="D76" s="2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21" t="s">
        <v>28</v>
      </c>
      <c r="D77" s="2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21" t="s">
        <v>28</v>
      </c>
      <c r="D78" s="2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21" t="s">
        <v>28</v>
      </c>
      <c r="D79" s="2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21" t="s">
        <v>33</v>
      </c>
      <c r="D80" s="2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21" t="s">
        <v>5</v>
      </c>
      <c r="D81" s="2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21" t="s">
        <v>5</v>
      </c>
      <c r="D82" s="2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21" t="s">
        <v>33</v>
      </c>
      <c r="D83" s="2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21" t="s">
        <v>33</v>
      </c>
      <c r="D84" s="2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21" t="s">
        <v>34</v>
      </c>
      <c r="D85" s="2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21" t="s">
        <v>22</v>
      </c>
      <c r="D86" s="2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21" t="s">
        <v>22</v>
      </c>
      <c r="D87" s="2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21" t="s">
        <v>22</v>
      </c>
      <c r="D88" s="2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21" t="s">
        <v>22</v>
      </c>
      <c r="D89" s="2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21" t="s">
        <v>21</v>
      </c>
      <c r="D90" s="2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21" t="s">
        <v>21</v>
      </c>
      <c r="D91" s="2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21" t="s">
        <v>24</v>
      </c>
      <c r="D92" s="2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21" t="s">
        <v>24</v>
      </c>
      <c r="D93" s="2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21" t="s">
        <v>5</v>
      </c>
      <c r="D94" s="2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21" t="s">
        <v>28</v>
      </c>
      <c r="D95" s="2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21" t="s">
        <v>28</v>
      </c>
      <c r="D96" s="2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21" t="s">
        <v>28</v>
      </c>
      <c r="D97" s="2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21" t="s">
        <v>33</v>
      </c>
      <c r="D98" s="2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21" t="s">
        <v>5</v>
      </c>
      <c r="D99" s="2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21" t="s">
        <v>22</v>
      </c>
      <c r="D100" s="2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21" t="s">
        <v>22</v>
      </c>
      <c r="D101" s="2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21" t="s">
        <v>33</v>
      </c>
      <c r="D102" s="2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21" t="s">
        <v>22</v>
      </c>
      <c r="D103" s="2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21" t="s">
        <v>33</v>
      </c>
      <c r="D104" s="2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21" t="s">
        <v>33</v>
      </c>
      <c r="D105" s="2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21" t="s">
        <v>24</v>
      </c>
      <c r="D106" s="2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21" t="s">
        <v>24</v>
      </c>
      <c r="D107" s="2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21" t="s">
        <v>9</v>
      </c>
      <c r="D108" s="2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21" t="s">
        <v>9</v>
      </c>
      <c r="D109" s="2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21" t="s">
        <v>5</v>
      </c>
      <c r="D110" s="2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21" t="s">
        <v>33</v>
      </c>
      <c r="D111" s="2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21" t="s">
        <v>24</v>
      </c>
      <c r="D112" s="2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21" t="s">
        <v>21</v>
      </c>
      <c r="D113" s="2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21" t="s">
        <v>22</v>
      </c>
      <c r="D114" s="2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21" t="s">
        <v>21</v>
      </c>
      <c r="D115" s="2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21" t="s">
        <v>5</v>
      </c>
      <c r="D116" s="2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21" t="s">
        <v>9</v>
      </c>
      <c r="D117" s="2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21" t="s">
        <v>9</v>
      </c>
      <c r="D118" s="2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21" t="s">
        <v>33</v>
      </c>
      <c r="D119" s="2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21" t="s">
        <v>33</v>
      </c>
      <c r="D120" s="2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21" t="s">
        <v>33</v>
      </c>
      <c r="D121" s="2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21" t="s">
        <v>22</v>
      </c>
      <c r="D122" s="2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21" t="s">
        <v>5</v>
      </c>
      <c r="D123" s="2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21" t="s">
        <v>22</v>
      </c>
      <c r="D124" s="2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21" t="s">
        <v>33</v>
      </c>
      <c r="D125" s="2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21" t="s">
        <v>22</v>
      </c>
      <c r="D126" s="2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21" t="s">
        <v>9</v>
      </c>
      <c r="D127" s="2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21" t="s">
        <v>9</v>
      </c>
      <c r="D128" s="2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21" t="s">
        <v>28</v>
      </c>
      <c r="D129" s="2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21" t="s">
        <v>5</v>
      </c>
      <c r="D130" s="2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21" t="s">
        <v>5</v>
      </c>
      <c r="D131" s="2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21" t="s">
        <v>21</v>
      </c>
      <c r="D132" s="2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21" t="s">
        <v>21</v>
      </c>
      <c r="D133" s="2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21" t="s">
        <v>5</v>
      </c>
      <c r="D134" s="2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21" t="s">
        <v>21</v>
      </c>
      <c r="D135" s="2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21" t="s">
        <v>22</v>
      </c>
      <c r="D136" s="2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21" t="s">
        <v>22</v>
      </c>
      <c r="D137" s="2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21" t="s">
        <v>22</v>
      </c>
      <c r="D138" s="2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21" t="s">
        <v>22</v>
      </c>
      <c r="D139" s="2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21" t="s">
        <v>22</v>
      </c>
      <c r="D140" s="2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21" t="s">
        <v>22</v>
      </c>
      <c r="D141" s="2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21" t="s">
        <v>22</v>
      </c>
      <c r="D142" s="2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21" t="s">
        <v>21</v>
      </c>
      <c r="D143" s="2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21" t="s">
        <v>22</v>
      </c>
      <c r="D144" s="2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21" t="s">
        <v>22</v>
      </c>
      <c r="D145" s="2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21" t="s">
        <v>22</v>
      </c>
      <c r="D146" s="2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21" t="s">
        <v>22</v>
      </c>
      <c r="D147" s="2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21" t="s">
        <v>22</v>
      </c>
      <c r="D148" s="2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21" t="s">
        <v>22</v>
      </c>
      <c r="D149" s="2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21" t="s">
        <v>22</v>
      </c>
      <c r="D150" s="2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21" t="s">
        <v>21</v>
      </c>
      <c r="D151" s="2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21" t="s">
        <v>21</v>
      </c>
      <c r="D152" s="2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21" t="s">
        <v>21</v>
      </c>
      <c r="D153" s="2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21" t="s">
        <v>28</v>
      </c>
      <c r="D154" s="2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21" t="s">
        <v>28</v>
      </c>
      <c r="D155" s="2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21" t="s">
        <v>28</v>
      </c>
      <c r="D156" s="2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21" t="s">
        <v>28</v>
      </c>
      <c r="D157" s="2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21" t="s">
        <v>28</v>
      </c>
      <c r="D158" s="2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21" t="s">
        <v>28</v>
      </c>
      <c r="D159" s="2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21" t="s">
        <v>33</v>
      </c>
      <c r="D160" s="2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21" t="s">
        <v>22</v>
      </c>
      <c r="D161" s="2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21" t="s">
        <v>22</v>
      </c>
      <c r="D162" s="2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21" t="s">
        <v>22</v>
      </c>
      <c r="D163" s="2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21" t="s">
        <v>22</v>
      </c>
      <c r="D164" s="2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21" t="s">
        <v>22</v>
      </c>
      <c r="D165" s="2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21" t="s">
        <v>33</v>
      </c>
      <c r="D166" s="2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21" t="s">
        <v>22</v>
      </c>
      <c r="D167" s="2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21" t="s">
        <v>22</v>
      </c>
      <c r="D168" s="2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21" t="s">
        <v>33</v>
      </c>
      <c r="D169" s="2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21" t="s">
        <v>33</v>
      </c>
      <c r="D170" s="2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21" t="s">
        <v>5</v>
      </c>
      <c r="D171" s="2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21" t="s">
        <v>22</v>
      </c>
      <c r="D172" s="2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21" t="s">
        <v>22</v>
      </c>
      <c r="D173" s="2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21" t="s">
        <v>22</v>
      </c>
      <c r="D174" s="2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21" t="s">
        <v>22</v>
      </c>
      <c r="D175" s="2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21" t="s">
        <v>21</v>
      </c>
      <c r="D176" s="2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21" t="s">
        <v>21</v>
      </c>
      <c r="D177" s="2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21" t="s">
        <v>9</v>
      </c>
      <c r="D178" s="2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21" t="s">
        <v>21</v>
      </c>
      <c r="D179" s="2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21" t="s">
        <v>21</v>
      </c>
      <c r="D180" s="2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21" t="s">
        <v>21</v>
      </c>
      <c r="D181" s="2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21" t="s">
        <v>21</v>
      </c>
      <c r="D182" s="2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21" t="s">
        <v>9</v>
      </c>
      <c r="D183" s="2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21" t="s">
        <v>21</v>
      </c>
      <c r="D184" s="2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21" t="s">
        <v>5</v>
      </c>
      <c r="D185" s="2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21" t="s">
        <v>33</v>
      </c>
      <c r="D186" s="2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21" t="s">
        <v>5</v>
      </c>
      <c r="D187" s="2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21" t="s">
        <v>5</v>
      </c>
      <c r="D188" s="2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21" t="s">
        <v>32</v>
      </c>
      <c r="D189" s="2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21" t="s">
        <v>32</v>
      </c>
      <c r="D190" s="2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21" t="s">
        <v>32</v>
      </c>
      <c r="D191" s="2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21" t="s">
        <v>21</v>
      </c>
      <c r="D192" s="2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21" t="s">
        <v>22</v>
      </c>
      <c r="D193" s="2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21" t="s">
        <v>22</v>
      </c>
      <c r="D194" s="2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21" t="s">
        <v>22</v>
      </c>
      <c r="D195" s="2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21" t="s">
        <v>22</v>
      </c>
      <c r="D196" s="2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21" t="s">
        <v>22</v>
      </c>
      <c r="D197" s="2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21" t="s">
        <v>22</v>
      </c>
      <c r="D198" s="2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21" t="s">
        <v>22</v>
      </c>
      <c r="D199" s="2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21" t="s">
        <v>22</v>
      </c>
      <c r="D200" s="2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21" t="s">
        <v>22</v>
      </c>
      <c r="D201" s="2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21" t="s">
        <v>22</v>
      </c>
      <c r="D202" s="2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21" t="s">
        <v>22</v>
      </c>
      <c r="D203" s="2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21" t="s">
        <v>22</v>
      </c>
      <c r="D204" s="2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21" t="s">
        <v>28</v>
      </c>
      <c r="D205" s="2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21" t="s">
        <v>28</v>
      </c>
      <c r="D206" s="2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21" t="s">
        <v>28</v>
      </c>
      <c r="D207" s="2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21" t="s">
        <v>9</v>
      </c>
      <c r="D208" s="2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21" t="s">
        <v>5</v>
      </c>
      <c r="D209" s="2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21" t="s">
        <v>5</v>
      </c>
      <c r="D210" s="2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21" t="s">
        <v>21</v>
      </c>
      <c r="D211" s="2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21" t="s">
        <v>21</v>
      </c>
      <c r="D212" s="2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21" t="s">
        <v>21</v>
      </c>
      <c r="D213" s="2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21" t="s">
        <v>21</v>
      </c>
      <c r="D214" s="2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21" t="s">
        <v>21</v>
      </c>
      <c r="D215" s="2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21" t="s">
        <v>21</v>
      </c>
      <c r="D216" s="2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21" t="s">
        <v>5</v>
      </c>
      <c r="D217" s="2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21" t="s">
        <v>28</v>
      </c>
      <c r="D218" s="2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21" t="s">
        <v>28</v>
      </c>
      <c r="D219" s="2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21" t="s">
        <v>21</v>
      </c>
      <c r="D220" s="2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21" t="s">
        <v>34</v>
      </c>
      <c r="D221" s="2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21" t="s">
        <v>34</v>
      </c>
      <c r="D222" s="2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21" t="s">
        <v>28</v>
      </c>
      <c r="D223" s="2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21" t="s">
        <v>21</v>
      </c>
      <c r="D224" s="2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21" t="s">
        <v>21</v>
      </c>
      <c r="D225" s="2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21" t="s">
        <v>5</v>
      </c>
      <c r="D226" s="2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21" t="s">
        <v>5</v>
      </c>
      <c r="D227" s="2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21" t="s">
        <v>5</v>
      </c>
      <c r="D228" s="2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21" t="s">
        <v>5</v>
      </c>
      <c r="D229" s="2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21" t="s">
        <v>5</v>
      </c>
      <c r="D230" s="2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21" t="s">
        <v>5</v>
      </c>
      <c r="D231" s="2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21" t="s">
        <v>5</v>
      </c>
      <c r="D232" s="2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21" t="s">
        <v>21</v>
      </c>
      <c r="D233" s="2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21" t="s">
        <v>5</v>
      </c>
      <c r="D234" s="2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21" t="s">
        <v>5</v>
      </c>
      <c r="D235" s="2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21" t="s">
        <v>5</v>
      </c>
      <c r="D236" s="2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21" t="s">
        <v>5</v>
      </c>
      <c r="D237" s="2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21" t="s">
        <v>5</v>
      </c>
      <c r="D238" s="2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21" t="s">
        <v>24</v>
      </c>
      <c r="D239" s="2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21" t="s">
        <v>24</v>
      </c>
      <c r="D240" s="2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21" t="s">
        <v>24</v>
      </c>
      <c r="D241" s="2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21" t="s">
        <v>5</v>
      </c>
      <c r="D242" s="2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21" t="s">
        <v>5</v>
      </c>
      <c r="D243" s="2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21" t="s">
        <v>33</v>
      </c>
      <c r="D244" s="2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21" t="s">
        <v>24</v>
      </c>
      <c r="D245" s="2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21" t="s">
        <v>21</v>
      </c>
      <c r="D246" s="2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21" t="s">
        <v>21</v>
      </c>
      <c r="D247" s="2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21" t="s">
        <v>21</v>
      </c>
      <c r="D248" s="2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21" t="s">
        <v>21</v>
      </c>
      <c r="D249" s="2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21" t="s">
        <v>5</v>
      </c>
      <c r="D250" s="2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21" t="s">
        <v>5</v>
      </c>
      <c r="D251" s="2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21" t="s">
        <v>24</v>
      </c>
      <c r="D252" s="2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21" t="s">
        <v>22</v>
      </c>
      <c r="D253" s="2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21" t="s">
        <v>22</v>
      </c>
      <c r="D254" s="2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21" t="s">
        <v>22</v>
      </c>
      <c r="D255" s="2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21" t="s">
        <v>22</v>
      </c>
      <c r="D256" s="2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21" t="s">
        <v>22</v>
      </c>
      <c r="D257" s="2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21" t="s">
        <v>22</v>
      </c>
      <c r="D258" s="2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21" t="s">
        <v>22</v>
      </c>
      <c r="D259" s="2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21" t="s">
        <v>21</v>
      </c>
      <c r="D260" s="2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21" t="s">
        <v>24</v>
      </c>
      <c r="D261" s="2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21" t="s">
        <v>21</v>
      </c>
      <c r="D262" s="2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21" t="s">
        <v>21</v>
      </c>
      <c r="D263" s="2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21" t="s">
        <v>21</v>
      </c>
      <c r="D264" s="2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21" t="s">
        <v>5</v>
      </c>
      <c r="D265" s="2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21" t="s">
        <v>24</v>
      </c>
      <c r="D266" s="2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21" t="s">
        <v>5</v>
      </c>
      <c r="D267" s="2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21" t="s">
        <v>33</v>
      </c>
      <c r="D268" s="2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21" t="s">
        <v>33</v>
      </c>
      <c r="D269" s="2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21" t="s">
        <v>28</v>
      </c>
      <c r="D270" s="2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21" t="s">
        <v>28</v>
      </c>
      <c r="D271" s="2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21" t="s">
        <v>28</v>
      </c>
      <c r="D272" s="2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21" t="s">
        <v>28</v>
      </c>
      <c r="D273" s="2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21" t="s">
        <v>28</v>
      </c>
      <c r="D274" s="2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21" t="s">
        <v>5</v>
      </c>
      <c r="D275" s="2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21" t="s">
        <v>5</v>
      </c>
      <c r="D276" s="2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21" t="s">
        <v>28</v>
      </c>
      <c r="D277" s="2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21" t="s">
        <v>33</v>
      </c>
      <c r="D278" s="2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21" t="s">
        <v>5</v>
      </c>
      <c r="D279" s="2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21" t="s">
        <v>28</v>
      </c>
      <c r="D280" s="2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21" t="s">
        <v>28</v>
      </c>
      <c r="D281" s="2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21" t="s">
        <v>21</v>
      </c>
      <c r="D282" s="2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21" t="s">
        <v>21</v>
      </c>
      <c r="D283" s="2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21" t="s">
        <v>21</v>
      </c>
      <c r="D284" s="2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21" t="s">
        <v>21</v>
      </c>
      <c r="D285" s="2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21" t="s">
        <v>5</v>
      </c>
      <c r="D286" s="2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21" t="s">
        <v>5</v>
      </c>
      <c r="D287" s="2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21" t="s">
        <v>21</v>
      </c>
      <c r="D288" s="2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21" t="s">
        <v>5</v>
      </c>
      <c r="D289" s="2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21" t="s">
        <v>5</v>
      </c>
      <c r="D290" s="2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21" t="s">
        <v>22</v>
      </c>
      <c r="D291" s="2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21" t="s">
        <v>5</v>
      </c>
      <c r="D292" s="2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21" t="s">
        <v>21</v>
      </c>
      <c r="D293" s="2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21" t="s">
        <v>5</v>
      </c>
      <c r="D294" s="2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21" t="s">
        <v>5</v>
      </c>
      <c r="D295" s="2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21" t="s">
        <v>5</v>
      </c>
      <c r="D296" s="2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21" t="s">
        <v>33</v>
      </c>
      <c r="D297" s="2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21" t="s">
        <v>33</v>
      </c>
      <c r="D298" s="2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21" t="s">
        <v>21</v>
      </c>
      <c r="D299" s="2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21" t="s">
        <v>28</v>
      </c>
      <c r="D300" s="2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21" t="s">
        <v>5</v>
      </c>
      <c r="D301" s="2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21" t="s">
        <v>5</v>
      </c>
      <c r="D302" s="2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21" t="s">
        <v>21</v>
      </c>
      <c r="D303" s="2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21" t="s">
        <v>21</v>
      </c>
      <c r="D304" s="2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21" t="s">
        <v>21</v>
      </c>
      <c r="D305" s="2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21" t="s">
        <v>21</v>
      </c>
      <c r="D306" s="2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21" t="s">
        <v>33</v>
      </c>
      <c r="D307" s="2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21" t="s">
        <v>24</v>
      </c>
      <c r="D308" s="2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21" t="s">
        <v>24</v>
      </c>
      <c r="D309" s="2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21" t="s">
        <v>9</v>
      </c>
      <c r="D310" s="2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21" t="s">
        <v>9</v>
      </c>
      <c r="D311" s="2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21" t="s">
        <v>9</v>
      </c>
      <c r="D312" s="2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21" t="s">
        <v>24</v>
      </c>
      <c r="D313" s="2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21" t="s">
        <v>9</v>
      </c>
      <c r="D314" s="2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21" t="s">
        <v>5</v>
      </c>
      <c r="D315" s="2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21" t="s">
        <v>5</v>
      </c>
      <c r="D316" s="2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21" t="s">
        <v>5</v>
      </c>
      <c r="D317" s="2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21" t="s">
        <v>5</v>
      </c>
      <c r="D318" s="2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21" t="s">
        <v>28</v>
      </c>
      <c r="D319" s="2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21" t="s">
        <v>5</v>
      </c>
      <c r="D320" s="2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21" t="s">
        <v>9</v>
      </c>
      <c r="D321" s="2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21" t="s">
        <v>33</v>
      </c>
      <c r="D322" s="2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21" t="s">
        <v>9</v>
      </c>
      <c r="D323" s="2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21" t="s">
        <v>33</v>
      </c>
      <c r="D324" s="2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21" t="s">
        <v>24</v>
      </c>
      <c r="D325" s="2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21" t="s">
        <v>24</v>
      </c>
      <c r="D326" s="2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21" t="s">
        <v>28</v>
      </c>
      <c r="D327" s="2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21" t="s">
        <v>33</v>
      </c>
      <c r="D328" s="2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21" t="s">
        <v>24</v>
      </c>
      <c r="D329" s="2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21" t="s">
        <v>24</v>
      </c>
      <c r="D330" s="2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21" t="s">
        <v>24</v>
      </c>
      <c r="D331" s="2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21" t="s">
        <v>24</v>
      </c>
      <c r="D332" s="2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21" t="s">
        <v>24</v>
      </c>
      <c r="D333" s="2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21" t="s">
        <v>24</v>
      </c>
      <c r="D334" s="2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21" t="s">
        <v>24</v>
      </c>
      <c r="D335" s="2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21" t="s">
        <v>24</v>
      </c>
      <c r="D336" s="2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21" t="s">
        <v>9</v>
      </c>
      <c r="D337" s="2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21" t="s">
        <v>24</v>
      </c>
      <c r="D338" s="2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21" t="s">
        <v>28</v>
      </c>
      <c r="D339" s="2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21" t="s">
        <v>5</v>
      </c>
      <c r="D340" s="2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21" t="s">
        <v>24</v>
      </c>
      <c r="D341" s="2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21" t="s">
        <v>24</v>
      </c>
      <c r="D342" s="2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21" t="s">
        <v>9</v>
      </c>
      <c r="D343" s="2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21" t="s">
        <v>9</v>
      </c>
      <c r="D344" s="2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21" t="s">
        <v>9</v>
      </c>
      <c r="D345" s="2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21" t="s">
        <v>9</v>
      </c>
      <c r="D346" s="2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21" t="s">
        <v>9</v>
      </c>
      <c r="D347" s="2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21" t="s">
        <v>5</v>
      </c>
      <c r="D348" s="2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21" t="s">
        <v>5</v>
      </c>
      <c r="D349" s="2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21" t="s">
        <v>33</v>
      </c>
      <c r="D350" s="2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21" t="s">
        <v>33</v>
      </c>
      <c r="D351" s="2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21" t="s">
        <v>9</v>
      </c>
      <c r="D352" s="2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21" t="s">
        <v>9</v>
      </c>
      <c r="D353" s="2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21" t="s">
        <v>28</v>
      </c>
      <c r="D354" s="2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21" t="s">
        <v>32</v>
      </c>
      <c r="D355" s="2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21" t="s">
        <v>24</v>
      </c>
      <c r="D356" s="2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21" t="s">
        <v>28</v>
      </c>
      <c r="D357" s="2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21" t="s">
        <v>28</v>
      </c>
      <c r="D358" s="2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21" t="s">
        <v>28</v>
      </c>
      <c r="D359" s="2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21" t="s">
        <v>28</v>
      </c>
      <c r="D360" s="2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21" t="s">
        <v>9</v>
      </c>
      <c r="D361" s="2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21" t="s">
        <v>24</v>
      </c>
      <c r="D362" s="2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21" t="s">
        <v>24</v>
      </c>
      <c r="D363" s="2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21" t="s">
        <v>9</v>
      </c>
      <c r="D364" s="2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21" t="s">
        <v>24</v>
      </c>
      <c r="D365" s="2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21" t="s">
        <v>24</v>
      </c>
      <c r="D366" s="2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21" t="s">
        <v>24</v>
      </c>
      <c r="D367" s="2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21" t="s">
        <v>24</v>
      </c>
      <c r="D368" s="2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21" t="s">
        <v>24</v>
      </c>
      <c r="D369" s="2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21" t="s">
        <v>24</v>
      </c>
      <c r="D370" s="2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21" t="s">
        <v>24</v>
      </c>
      <c r="D371" s="2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21" t="s">
        <v>9</v>
      </c>
      <c r="D372" s="2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21" t="s">
        <v>9</v>
      </c>
      <c r="D373" s="2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21" t="s">
        <v>9</v>
      </c>
      <c r="D374" s="2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21" t="s">
        <v>28</v>
      </c>
      <c r="D375" s="2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21" t="s">
        <v>28</v>
      </c>
      <c r="D376" s="2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21" t="s">
        <v>5</v>
      </c>
      <c r="D377" s="2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21" t="s">
        <v>24</v>
      </c>
      <c r="D378" s="2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21" t="s">
        <v>5</v>
      </c>
      <c r="D379" s="2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21" t="s">
        <v>21</v>
      </c>
      <c r="D380" s="2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21" t="s">
        <v>21</v>
      </c>
      <c r="D381" s="2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21" t="s">
        <v>21</v>
      </c>
      <c r="D382" s="2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21" t="s">
        <v>9</v>
      </c>
      <c r="D383" s="2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21" t="s">
        <v>21</v>
      </c>
      <c r="D384" s="2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21" t="s">
        <v>24</v>
      </c>
      <c r="D385" s="2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21" t="s">
        <v>24</v>
      </c>
      <c r="D386" s="2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21" t="s">
        <v>5</v>
      </c>
      <c r="D387" s="2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21" t="s">
        <v>21</v>
      </c>
      <c r="D388" s="2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21" t="s">
        <v>5</v>
      </c>
      <c r="D389" s="2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21" t="s">
        <v>3</v>
      </c>
      <c r="D390" s="2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21" t="s">
        <v>21</v>
      </c>
      <c r="D391" s="2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21" t="s">
        <v>21</v>
      </c>
      <c r="D392" s="2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21" t="s">
        <v>21</v>
      </c>
      <c r="D393" s="2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21" t="s">
        <v>21</v>
      </c>
      <c r="D394" s="2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21" t="s">
        <v>21</v>
      </c>
      <c r="D395" s="2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21" t="s">
        <v>5</v>
      </c>
      <c r="D396" s="2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21" t="s">
        <v>5</v>
      </c>
      <c r="D397" s="2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21" t="s">
        <v>5</v>
      </c>
      <c r="D398" s="2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21" t="s">
        <v>5</v>
      </c>
      <c r="D399" s="2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21" t="s">
        <v>3</v>
      </c>
      <c r="D400" s="2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21" t="s">
        <v>3</v>
      </c>
      <c r="D401" s="2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21" t="s">
        <v>3</v>
      </c>
      <c r="D402" s="2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21" t="s">
        <v>19</v>
      </c>
      <c r="D403" s="2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21" t="s">
        <v>9</v>
      </c>
      <c r="D404" s="2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21" t="s">
        <v>9</v>
      </c>
      <c r="D405" s="2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21" t="s">
        <v>19</v>
      </c>
      <c r="D406" s="2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21" t="s">
        <v>19</v>
      </c>
      <c r="D407" s="2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21" t="s">
        <v>19</v>
      </c>
      <c r="D408" s="2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21" t="s">
        <v>19</v>
      </c>
      <c r="D409" s="2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21" t="s">
        <v>19</v>
      </c>
      <c r="D410" s="2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21" t="s">
        <v>19</v>
      </c>
      <c r="D411" s="2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21" t="s">
        <v>19</v>
      </c>
      <c r="D412" s="2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21" t="s">
        <v>9</v>
      </c>
      <c r="D413" s="2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21" t="s">
        <v>9</v>
      </c>
      <c r="D414" s="2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21" t="s">
        <v>9</v>
      </c>
      <c r="D415" s="2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21" t="s">
        <v>9</v>
      </c>
      <c r="D416" s="2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21" t="s">
        <v>19</v>
      </c>
      <c r="D417" s="2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21" t="s">
        <v>19</v>
      </c>
      <c r="D418" s="2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21" t="s">
        <v>9</v>
      </c>
      <c r="D419" s="2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21" t="s">
        <v>3</v>
      </c>
      <c r="D420" s="2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21" t="s">
        <v>3</v>
      </c>
      <c r="D421" s="2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21" t="s">
        <v>9</v>
      </c>
      <c r="D422" s="2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21" t="s">
        <v>3</v>
      </c>
      <c r="D423" s="2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21" t="s">
        <v>3</v>
      </c>
      <c r="D424" s="2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21" t="s">
        <v>19</v>
      </c>
      <c r="D425" s="2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21" t="s">
        <v>19</v>
      </c>
      <c r="D426" s="2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21" t="s">
        <v>19</v>
      </c>
      <c r="D427" s="2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21" t="s">
        <v>19</v>
      </c>
      <c r="D428" s="2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21" t="s">
        <v>9</v>
      </c>
      <c r="D429" s="2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21" t="s">
        <v>3</v>
      </c>
      <c r="D430" s="2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21" t="s">
        <v>19</v>
      </c>
      <c r="D431" s="2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21" t="s">
        <v>19</v>
      </c>
      <c r="D432" s="2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21" t="s">
        <v>19</v>
      </c>
      <c r="D433" s="2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21" t="s">
        <v>19</v>
      </c>
      <c r="D434" s="2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21" t="s">
        <v>19</v>
      </c>
      <c r="D435" s="2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21" t="s">
        <v>19</v>
      </c>
      <c r="D436" s="2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21" t="s">
        <v>19</v>
      </c>
      <c r="D437" s="2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21" t="s">
        <v>19</v>
      </c>
      <c r="D438" s="2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21" t="s">
        <v>19</v>
      </c>
      <c r="D439" s="2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21" t="s">
        <v>9</v>
      </c>
      <c r="D440" s="2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21" t="s">
        <v>9</v>
      </c>
      <c r="D441" s="2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21" t="s">
        <v>9</v>
      </c>
      <c r="D442" s="2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21" t="s">
        <v>3</v>
      </c>
      <c r="D443" s="2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21" t="s">
        <v>19</v>
      </c>
      <c r="D444" s="2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21" t="s">
        <v>19</v>
      </c>
      <c r="D445" s="2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21" t="s">
        <v>19</v>
      </c>
      <c r="D446" s="2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21" t="s">
        <v>19</v>
      </c>
      <c r="D447" s="2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21" t="s">
        <v>3</v>
      </c>
      <c r="D448" s="2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21" t="s">
        <v>19</v>
      </c>
      <c r="D449" s="2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21" t="s">
        <v>3</v>
      </c>
      <c r="D450" s="2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21" t="s">
        <v>3</v>
      </c>
      <c r="D451" s="2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21" t="s">
        <v>3</v>
      </c>
      <c r="D452" s="2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21" t="s">
        <v>3</v>
      </c>
      <c r="D453" s="2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21" t="s">
        <v>19</v>
      </c>
      <c r="D454" s="2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21" t="s">
        <v>19</v>
      </c>
      <c r="D455" s="2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21" t="s">
        <v>19</v>
      </c>
      <c r="D456" s="2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21" t="s">
        <v>3</v>
      </c>
      <c r="D457" s="2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21" t="s">
        <v>3</v>
      </c>
      <c r="D458" s="2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21" t="s">
        <v>3</v>
      </c>
      <c r="D459" s="2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21" t="s">
        <v>19</v>
      </c>
      <c r="D460" s="2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21" t="s">
        <v>3</v>
      </c>
      <c r="D461" s="2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21" t="s">
        <v>19</v>
      </c>
      <c r="D462" s="2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21" t="s">
        <v>19</v>
      </c>
      <c r="D463" s="2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21" t="s">
        <v>3</v>
      </c>
      <c r="D464" s="2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21" t="s">
        <v>3</v>
      </c>
      <c r="D465" s="2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21" t="s">
        <v>21</v>
      </c>
      <c r="D466" s="2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21" t="s">
        <v>3</v>
      </c>
      <c r="D467" s="2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21" t="s">
        <v>21</v>
      </c>
      <c r="D468" s="2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21" t="s">
        <v>19</v>
      </c>
      <c r="D469" s="2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21" t="s">
        <v>19</v>
      </c>
      <c r="D470" s="2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21" t="s">
        <v>19</v>
      </c>
      <c r="D471" s="2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21" t="s">
        <v>19</v>
      </c>
      <c r="D472" s="2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21" t="s">
        <v>19</v>
      </c>
      <c r="D473" s="2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21" t="s">
        <v>19</v>
      </c>
      <c r="D474" s="2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21" t="s">
        <v>19</v>
      </c>
      <c r="D475" s="2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21" t="s">
        <v>19</v>
      </c>
      <c r="D476" s="2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21" t="s">
        <v>9</v>
      </c>
      <c r="D477" s="2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21" t="s">
        <v>19</v>
      </c>
      <c r="D478" s="2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21" t="s">
        <v>19</v>
      </c>
      <c r="D479" s="2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21" t="s">
        <v>19</v>
      </c>
      <c r="D480" s="2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21" t="s">
        <v>19</v>
      </c>
      <c r="D481" s="2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21" t="s">
        <v>21</v>
      </c>
      <c r="D482" s="2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21" t="s">
        <v>19</v>
      </c>
      <c r="D483" s="2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21" t="s">
        <v>3</v>
      </c>
      <c r="D484" s="2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21" t="s">
        <v>3</v>
      </c>
      <c r="D485" s="2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21" t="s">
        <v>3</v>
      </c>
      <c r="D486" s="2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21" t="s">
        <v>24</v>
      </c>
      <c r="D487" s="2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21" t="s">
        <v>24</v>
      </c>
      <c r="D488" s="2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21" t="s">
        <v>21</v>
      </c>
      <c r="D489" s="2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21" t="s">
        <v>5</v>
      </c>
      <c r="D490" s="2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21" t="s">
        <v>5</v>
      </c>
      <c r="D491" s="2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21" t="s">
        <v>19</v>
      </c>
      <c r="D492" s="2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21" t="s">
        <v>19</v>
      </c>
      <c r="D493" s="2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21" t="s">
        <v>19</v>
      </c>
      <c r="D494" s="2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21" t="s">
        <v>24</v>
      </c>
      <c r="D495" s="2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21" t="s">
        <v>3</v>
      </c>
      <c r="D496" s="2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21" t="s">
        <v>3</v>
      </c>
      <c r="D497" s="2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21" t="s">
        <v>21</v>
      </c>
      <c r="D498" s="2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21" t="s">
        <v>3</v>
      </c>
      <c r="D499" s="2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21" t="s">
        <v>3</v>
      </c>
      <c r="D500" s="2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21" t="s">
        <v>5</v>
      </c>
      <c r="D501" s="2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21" t="s">
        <v>5</v>
      </c>
      <c r="D502" s="2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21" t="s">
        <v>3</v>
      </c>
      <c r="D503" s="2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21" t="s">
        <v>3</v>
      </c>
      <c r="D504" s="2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21" t="s">
        <v>19</v>
      </c>
      <c r="D505" s="2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21" t="s">
        <v>19</v>
      </c>
      <c r="D506" s="2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21" t="s">
        <v>21</v>
      </c>
      <c r="D507" s="2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21" t="s">
        <v>3</v>
      </c>
      <c r="D508" s="2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21" t="s">
        <v>3</v>
      </c>
      <c r="D509" s="2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21" t="s">
        <v>3</v>
      </c>
      <c r="D510" s="2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21" t="s">
        <v>3</v>
      </c>
      <c r="D511" s="2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21" t="s">
        <v>3</v>
      </c>
      <c r="D512" s="2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21" t="s">
        <v>28</v>
      </c>
      <c r="D513" s="2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21" t="s">
        <v>9</v>
      </c>
      <c r="D514" s="2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21" t="s">
        <v>9</v>
      </c>
      <c r="D515" s="2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21" t="s">
        <v>22</v>
      </c>
      <c r="D516" s="2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21" t="s">
        <v>22</v>
      </c>
      <c r="D517" s="2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21" t="s">
        <v>22</v>
      </c>
      <c r="D518" s="2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21" t="s">
        <v>22</v>
      </c>
      <c r="D519" s="2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21" t="s">
        <v>22</v>
      </c>
      <c r="D520" s="2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21" t="s">
        <v>22</v>
      </c>
      <c r="D521" s="2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21" t="s">
        <v>22</v>
      </c>
      <c r="D522" s="2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21" t="s">
        <v>22</v>
      </c>
      <c r="D523" s="2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21" t="s">
        <v>22</v>
      </c>
      <c r="D524" s="2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21" t="s">
        <v>22</v>
      </c>
      <c r="D525" s="2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21" t="s">
        <v>22</v>
      </c>
      <c r="D526" s="2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21" t="s">
        <v>22</v>
      </c>
      <c r="D527" s="2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21" t="s">
        <v>22</v>
      </c>
      <c r="D528" s="2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21" t="s">
        <v>22</v>
      </c>
      <c r="D529" s="2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21" t="s">
        <v>19</v>
      </c>
      <c r="D530" s="2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21" t="s">
        <v>19</v>
      </c>
      <c r="D531" s="2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21" t="s">
        <v>21</v>
      </c>
      <c r="D532" s="2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21" t="s">
        <v>21</v>
      </c>
      <c r="D533" s="2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21" t="s">
        <v>3</v>
      </c>
      <c r="D534" s="2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21" t="s">
        <v>19</v>
      </c>
      <c r="D535" s="2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21" t="s">
        <v>3</v>
      </c>
      <c r="D536" s="2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21" t="s">
        <v>19</v>
      </c>
      <c r="D537" s="2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21" t="s">
        <v>21</v>
      </c>
      <c r="D538" s="2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21" t="s">
        <v>21</v>
      </c>
      <c r="D539" s="2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21" t="s">
        <v>19</v>
      </c>
      <c r="D540" s="2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21" t="s">
        <v>21</v>
      </c>
      <c r="D541" s="2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21" t="s">
        <v>21</v>
      </c>
      <c r="D542" s="2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21" t="s">
        <v>19</v>
      </c>
      <c r="D543" s="2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21" t="s">
        <v>21</v>
      </c>
      <c r="D544" s="2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21" t="s">
        <v>24</v>
      </c>
      <c r="D545" s="2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21" t="s">
        <v>24</v>
      </c>
      <c r="D546" s="2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21" t="s">
        <v>24</v>
      </c>
      <c r="D547" s="2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21" t="s">
        <v>24</v>
      </c>
      <c r="D548" s="2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21" t="s">
        <v>3</v>
      </c>
      <c r="D549" s="2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21" t="s">
        <v>3</v>
      </c>
      <c r="D550" s="2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21" t="s">
        <v>24</v>
      </c>
      <c r="D551" s="2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21" t="s">
        <v>24</v>
      </c>
      <c r="D552" s="2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21" t="s">
        <v>3</v>
      </c>
      <c r="D553" s="2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21" t="s">
        <v>3</v>
      </c>
      <c r="D554" s="2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21" t="s">
        <v>21</v>
      </c>
      <c r="D555" s="2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21" t="s">
        <v>9</v>
      </c>
      <c r="D556" s="2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21" t="s">
        <v>9</v>
      </c>
      <c r="D557" s="2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21" t="s">
        <v>19</v>
      </c>
      <c r="D558" s="2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21" t="s">
        <v>19</v>
      </c>
      <c r="D559" s="2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21" t="s">
        <v>9</v>
      </c>
      <c r="D560" s="2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21" t="s">
        <v>19</v>
      </c>
      <c r="D561" s="2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21" t="s">
        <v>24</v>
      </c>
      <c r="D562" s="2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21" t="s">
        <v>24</v>
      </c>
      <c r="D563" s="2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21" t="s">
        <v>24</v>
      </c>
      <c r="D564" s="2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21" t="s">
        <v>9</v>
      </c>
      <c r="D565" s="2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21" t="s">
        <v>3</v>
      </c>
      <c r="D566" s="2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21" t="s">
        <v>3</v>
      </c>
      <c r="D567" s="2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21" t="s">
        <v>5</v>
      </c>
      <c r="D568" s="2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21" t="s">
        <v>5</v>
      </c>
      <c r="D569" s="2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21" t="s">
        <v>5</v>
      </c>
      <c r="D570" s="2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21" t="s">
        <v>3</v>
      </c>
      <c r="D571" s="2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21" t="s">
        <v>5</v>
      </c>
      <c r="D572" s="2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21" t="s">
        <v>5</v>
      </c>
      <c r="D573" s="2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21" t="s">
        <v>9</v>
      </c>
      <c r="D574" s="2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21" t="s">
        <v>21</v>
      </c>
      <c r="D575" s="2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21" t="s">
        <v>19</v>
      </c>
      <c r="D576" s="2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21" t="s">
        <v>19</v>
      </c>
      <c r="D577" s="2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21" t="s">
        <v>19</v>
      </c>
      <c r="D578" s="2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21" t="s">
        <v>19</v>
      </c>
      <c r="D579" s="2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21" t="s">
        <v>19</v>
      </c>
      <c r="D580" s="2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21" t="s">
        <v>19</v>
      </c>
      <c r="D581" s="2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21" t="s">
        <v>19</v>
      </c>
      <c r="D582" s="2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21" t="s">
        <v>19</v>
      </c>
      <c r="D583" s="2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21" t="s">
        <v>19</v>
      </c>
      <c r="D584" s="2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21" t="s">
        <v>24</v>
      </c>
      <c r="D585" s="2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21" t="s">
        <v>21</v>
      </c>
      <c r="D586" s="2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21" t="s">
        <v>19</v>
      </c>
      <c r="D587" s="2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21" t="s">
        <v>9</v>
      </c>
      <c r="D588" s="2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21" t="s">
        <v>9</v>
      </c>
      <c r="D589" s="2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21" t="s">
        <v>3</v>
      </c>
      <c r="D590" s="2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21" t="s">
        <v>24</v>
      </c>
      <c r="D591" s="2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21" t="s">
        <v>19</v>
      </c>
      <c r="D592" s="2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21" t="s">
        <v>19</v>
      </c>
      <c r="D593" s="2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21" t="s">
        <v>3</v>
      </c>
      <c r="D594" s="2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21" t="s">
        <v>24</v>
      </c>
      <c r="D595" s="2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21" t="s">
        <v>24</v>
      </c>
      <c r="D596" s="2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21" t="s">
        <v>9</v>
      </c>
      <c r="D597" s="2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21" t="s">
        <v>9</v>
      </c>
      <c r="D598" s="2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21" t="s">
        <v>9</v>
      </c>
      <c r="D599" s="2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21" t="s">
        <v>19</v>
      </c>
      <c r="D600" s="2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21" t="s">
        <v>21</v>
      </c>
      <c r="D601" s="2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21" t="s">
        <v>9</v>
      </c>
      <c r="D602" s="2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21" t="s">
        <v>19</v>
      </c>
      <c r="D603" s="2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21" t="s">
        <v>21</v>
      </c>
      <c r="D604" s="2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21" t="s">
        <v>24</v>
      </c>
      <c r="D605" s="2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21" t="s">
        <v>24</v>
      </c>
      <c r="D606" s="2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21" t="s">
        <v>24</v>
      </c>
      <c r="D607" s="2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21" t="s">
        <v>24</v>
      </c>
      <c r="D608" s="2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21" t="s">
        <v>28</v>
      </c>
      <c r="D609" s="2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21" t="s">
        <v>21</v>
      </c>
      <c r="D610" s="2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21" t="s">
        <v>19</v>
      </c>
      <c r="D611" s="2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21" t="s">
        <v>19</v>
      </c>
      <c r="D612" s="2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21" t="s">
        <v>19</v>
      </c>
      <c r="D613" s="2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21" t="s">
        <v>19</v>
      </c>
      <c r="D614" s="2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21" t="s">
        <v>9</v>
      </c>
      <c r="D615" s="2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21" t="s">
        <v>9</v>
      </c>
      <c r="D616" s="2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21" t="s">
        <v>3</v>
      </c>
      <c r="D617" s="2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21" t="s">
        <v>19</v>
      </c>
      <c r="D618" s="2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21" t="s">
        <v>19</v>
      </c>
      <c r="D619" s="2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21" t="s">
        <v>3</v>
      </c>
      <c r="D620" s="2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21" t="s">
        <v>19</v>
      </c>
      <c r="D621" s="2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21" t="s">
        <v>9</v>
      </c>
      <c r="D622" s="21">
        <f>IFERROR(VLOOKUP(FISCALIZAÇÃO[[#This Row],[ID]],FISC_ACUM!A:A,1,0),"NOVO")</f>
        <v>2625</v>
      </c>
    </row>
    <row r="623" spans="1:4" x14ac:dyDescent="0.35">
      <c r="A623" s="1">
        <v>2629</v>
      </c>
      <c r="B623" s="2">
        <v>46314</v>
      </c>
      <c r="C623" s="21" t="s">
        <v>3</v>
      </c>
      <c r="D623" s="21">
        <f>IFERROR(VLOOKUP(FISCALIZAÇÃO[[#This Row],[ID]],FISC_ACUM!A:A,1,0),"NOVO")</f>
        <v>2629</v>
      </c>
    </row>
    <row r="624" spans="1:4" x14ac:dyDescent="0.35">
      <c r="A624" s="1">
        <v>2630</v>
      </c>
      <c r="B624" s="2">
        <v>46314</v>
      </c>
      <c r="C624" s="21" t="s">
        <v>3</v>
      </c>
      <c r="D624" s="21">
        <f>IFERROR(VLOOKUP(FISCALIZAÇÃO[[#This Row],[ID]],FISC_ACUM!A:A,1,0),"NOVO")</f>
        <v>2630</v>
      </c>
    </row>
    <row r="625" spans="1:4" x14ac:dyDescent="0.35">
      <c r="A625" s="1">
        <v>2631</v>
      </c>
      <c r="B625" s="2">
        <v>46314</v>
      </c>
      <c r="C625" s="21" t="s">
        <v>9</v>
      </c>
      <c r="D625" s="21">
        <f>IFERROR(VLOOKUP(FISCALIZAÇÃO[[#This Row],[ID]],FISC_ACUM!A:A,1,0),"NOVO")</f>
        <v>2631</v>
      </c>
    </row>
    <row r="626" spans="1:4" x14ac:dyDescent="0.35">
      <c r="A626" s="1">
        <v>2632</v>
      </c>
      <c r="B626" s="2">
        <v>46314</v>
      </c>
      <c r="C626" s="21" t="s">
        <v>19</v>
      </c>
      <c r="D626" s="21">
        <f>IFERROR(VLOOKUP(FISCALIZAÇÃO[[#This Row],[ID]],FISC_ACUM!A:A,1,0),"NOVO")</f>
        <v>2632</v>
      </c>
    </row>
    <row r="627" spans="1:4" x14ac:dyDescent="0.35">
      <c r="A627" s="1">
        <v>2633</v>
      </c>
      <c r="B627" s="2">
        <v>46314</v>
      </c>
      <c r="C627" s="21" t="s">
        <v>19</v>
      </c>
      <c r="D627" s="21">
        <f>IFERROR(VLOOKUP(FISCALIZAÇÃO[[#This Row],[ID]],FISC_ACUM!A:A,1,0),"NOVO")</f>
        <v>2633</v>
      </c>
    </row>
    <row r="628" spans="1:4" x14ac:dyDescent="0.35">
      <c r="A628" s="1">
        <v>2634</v>
      </c>
      <c r="B628" s="2">
        <v>46314</v>
      </c>
      <c r="C628" s="21" t="s">
        <v>19</v>
      </c>
      <c r="D628" s="21">
        <f>IFERROR(VLOOKUP(FISCALIZAÇÃO[[#This Row],[ID]],FISC_ACUM!A:A,1,0),"NOVO")</f>
        <v>2634</v>
      </c>
    </row>
    <row r="629" spans="1:4" x14ac:dyDescent="0.35">
      <c r="A629" s="1">
        <v>2635</v>
      </c>
      <c r="B629" s="2">
        <v>46314</v>
      </c>
      <c r="C629" s="21" t="s">
        <v>3</v>
      </c>
      <c r="D629" s="21">
        <f>IFERROR(VLOOKUP(FISCALIZAÇÃO[[#This Row],[ID]],FISC_ACUM!A:A,1,0),"NOVO")</f>
        <v>2635</v>
      </c>
    </row>
    <row r="630" spans="1:4" x14ac:dyDescent="0.35">
      <c r="A630" s="1">
        <v>2636</v>
      </c>
      <c r="B630" s="2">
        <v>46314</v>
      </c>
      <c r="C630" s="21" t="s">
        <v>9</v>
      </c>
      <c r="D630" s="21">
        <f>IFERROR(VLOOKUP(FISCALIZAÇÃO[[#This Row],[ID]],FISC_ACUM!A:A,1,0),"NOVO")</f>
        <v>2636</v>
      </c>
    </row>
    <row r="631" spans="1:4" x14ac:dyDescent="0.35">
      <c r="A631" s="1">
        <v>2637</v>
      </c>
      <c r="B631" s="2">
        <v>46314</v>
      </c>
      <c r="C631" s="21" t="s">
        <v>24</v>
      </c>
      <c r="D631" s="21">
        <f>IFERROR(VLOOKUP(FISCALIZAÇÃO[[#This Row],[ID]],FISC_ACUM!A:A,1,0),"NOVO")</f>
        <v>2637</v>
      </c>
    </row>
    <row r="632" spans="1:4" x14ac:dyDescent="0.35">
      <c r="A632" s="1">
        <v>2638</v>
      </c>
      <c r="B632" s="2">
        <v>46314</v>
      </c>
      <c r="C632" s="21" t="s">
        <v>3</v>
      </c>
      <c r="D632" s="21">
        <f>IFERROR(VLOOKUP(FISCALIZAÇÃO[[#This Row],[ID]],FISC_ACUM!A:A,1,0),"NOVO")</f>
        <v>2638</v>
      </c>
    </row>
    <row r="633" spans="1:4" x14ac:dyDescent="0.35">
      <c r="A633" s="1">
        <v>2639</v>
      </c>
      <c r="B633" s="2">
        <v>46314</v>
      </c>
      <c r="C633" s="21" t="s">
        <v>3</v>
      </c>
      <c r="D633" s="21">
        <f>IFERROR(VLOOKUP(FISCALIZAÇÃO[[#This Row],[ID]],FISC_ACUM!A:A,1,0),"NOVO")</f>
        <v>2639</v>
      </c>
    </row>
    <row r="634" spans="1:4" x14ac:dyDescent="0.35">
      <c r="A634" s="1">
        <v>2640</v>
      </c>
      <c r="B634" s="2">
        <v>46314</v>
      </c>
      <c r="C634" s="21" t="s">
        <v>9</v>
      </c>
      <c r="D634" s="21">
        <f>IFERROR(VLOOKUP(FISCALIZAÇÃO[[#This Row],[ID]],FISC_ACUM!A:A,1,0),"NOVO")</f>
        <v>2640</v>
      </c>
    </row>
    <row r="635" spans="1:4" x14ac:dyDescent="0.35">
      <c r="A635" s="1">
        <v>2641</v>
      </c>
      <c r="B635" s="2">
        <v>46314</v>
      </c>
      <c r="C635" s="21" t="s">
        <v>9</v>
      </c>
      <c r="D635" s="21">
        <f>IFERROR(VLOOKUP(FISCALIZAÇÃO[[#This Row],[ID]],FISC_ACUM!A:A,1,0),"NOVO")</f>
        <v>2641</v>
      </c>
    </row>
    <row r="636" spans="1:4" x14ac:dyDescent="0.35">
      <c r="A636" s="1">
        <v>2642</v>
      </c>
      <c r="B636" s="2">
        <v>46314</v>
      </c>
      <c r="C636" s="21" t="s">
        <v>9</v>
      </c>
      <c r="D636" s="21">
        <f>IFERROR(VLOOKUP(FISCALIZAÇÃO[[#This Row],[ID]],FISC_ACUM!A:A,1,0),"NOVO")</f>
        <v>2642</v>
      </c>
    </row>
    <row r="637" spans="1:4" x14ac:dyDescent="0.35">
      <c r="A637" s="1">
        <v>2643</v>
      </c>
      <c r="B637" s="2">
        <v>46314</v>
      </c>
      <c r="C637" s="21" t="s">
        <v>9</v>
      </c>
      <c r="D637" s="21">
        <f>IFERROR(VLOOKUP(FISCALIZAÇÃO[[#This Row],[ID]],FISC_ACUM!A:A,1,0),"NOVO")</f>
        <v>2643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37"/>
  <sheetViews>
    <sheetView showGridLines="0" topLeftCell="A622" workbookViewId="0">
      <selection activeCell="A637" sqref="A637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2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2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2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2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2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2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2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2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2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2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2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2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2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2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2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34" workbookViewId="0">
      <selection activeCell="A3458" sqref="A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5" sqref="A1435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2"/>
  <sheetViews>
    <sheetView showGridLines="0" topLeftCell="A622" workbookViewId="0">
      <selection activeCell="A642" sqref="A642:B642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46309</v>
      </c>
      <c r="B625" s="21" t="s">
        <v>88</v>
      </c>
    </row>
    <row r="626" spans="1:2" x14ac:dyDescent="0.35">
      <c r="A626" s="2">
        <v>46309</v>
      </c>
      <c r="B626" s="21" t="s">
        <v>28</v>
      </c>
    </row>
    <row r="627" spans="1:2" x14ac:dyDescent="0.35">
      <c r="A627" s="2">
        <v>46309</v>
      </c>
      <c r="B627" s="21" t="s">
        <v>88</v>
      </c>
    </row>
    <row r="628" spans="1:2" x14ac:dyDescent="0.35">
      <c r="A628" s="2">
        <v>46310</v>
      </c>
      <c r="B628" s="21" t="s">
        <v>19</v>
      </c>
    </row>
    <row r="629" spans="1:2" x14ac:dyDescent="0.35">
      <c r="A629" s="2">
        <v>46310</v>
      </c>
      <c r="B629" s="21" t="s">
        <v>21</v>
      </c>
    </row>
    <row r="630" spans="1:2" x14ac:dyDescent="0.35">
      <c r="A630" s="2">
        <v>46310</v>
      </c>
      <c r="B630" s="21" t="s">
        <v>3</v>
      </c>
    </row>
    <row r="631" spans="1:2" x14ac:dyDescent="0.35">
      <c r="A631" s="2">
        <v>46310</v>
      </c>
      <c r="B631" s="21" t="s">
        <v>88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9</v>
      </c>
    </row>
    <row r="635" spans="1:2" x14ac:dyDescent="0.35">
      <c r="A635" s="2">
        <v>46310</v>
      </c>
      <c r="B635" s="21" t="s">
        <v>21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  <row r="642" spans="1:2" x14ac:dyDescent="0.35">
      <c r="A642" s="2">
        <v>46314</v>
      </c>
      <c r="B642" s="21" t="s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2"/>
  <sheetViews>
    <sheetView showGridLines="0" topLeftCell="A620" workbookViewId="0">
      <selection activeCell="A642" sqref="A642:B64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workbookViewId="0">
      <selection sqref="A1:AB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145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46314</v>
      </c>
      <c r="H2" s="7">
        <f ca="1">VLOOKUP(G2,A:E,5,0)</f>
        <v>12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48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24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6.96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48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24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6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48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2026-10-20T12:56:19Z</dcterms:modified>
</cp:coreProperties>
</file>
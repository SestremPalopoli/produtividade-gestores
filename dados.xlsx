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438" documentId="8_{856E4F16-6CBA-4CD5-819E-B9A0CC391AA1}" xr6:coauthVersionLast="47" xr6:coauthVersionMax="47" xr10:uidLastSave="{81ED5BE7-ADE6-43F1-8665-57B6FB2F180B}"/>
  <bookViews>
    <workbookView xWindow="-110" yWindow="-110" windowWidth="19420" windowHeight="10300" firstSheet="11" activeTab="13" xr2:uid="{9C3AB5CB-5C97-49BE-B351-698828C07519}"/>
  </bookViews>
  <sheets>
    <sheet name="RIT_FUSIONS" sheetId="2" r:id="rId1"/>
    <sheet name="RIT_ACUM" sheetId="1" r:id="rId2"/>
    <sheet name="CHECK_FUSIONS" sheetId="5" r:id="rId3"/>
    <sheet name="CHECK_ACUM" sheetId="4" r:id="rId4"/>
    <sheet name="DEG_REDE" sheetId="9" r:id="rId5"/>
    <sheet name="DEG_ACUM" sheetId="8" r:id="rId6"/>
    <sheet name="CLEAN-UP_ACUM" sheetId="11" r:id="rId7"/>
    <sheet name="FISCALIZAÇÃO" sheetId="12" r:id="rId8"/>
    <sheet name="FISC_ACUM" sheetId="13" r:id="rId9"/>
    <sheet name="SD_7" sheetId="14" r:id="rId10"/>
    <sheet name="SD_ACUM" sheetId="15" r:id="rId11"/>
    <sheet name="FMO" sheetId="16" r:id="rId12"/>
    <sheet name="FMO_ACUM" sheetId="17" r:id="rId13"/>
    <sheet name="LIBERADO COMERCIAL" sheetId="19" r:id="rId14"/>
    <sheet name="CALENDÁRIO" sheetId="7" r:id="rId15"/>
  </sheets>
  <definedNames>
    <definedName name="DadosExternos_1" localSheetId="2" hidden="1">CHECK_FUSIONS!$A$1:$C$191</definedName>
    <definedName name="DadosExternos_1" localSheetId="4" hidden="1">DEG_REDE!$A$1:$C$1287</definedName>
    <definedName name="DadosExternos_1" localSheetId="7" hidden="1">FISCALIZAÇÃO!$A$1:$C$622</definedName>
    <definedName name="DadosExternos_1" localSheetId="11" hidden="1">FMO!$A$1:$B$641</definedName>
    <definedName name="DadosExternos_1" localSheetId="13" hidden="1">'LIBERADO COMERCIAL'!$A$1:$AA$302</definedName>
    <definedName name="DadosExternos_1" localSheetId="0" hidden="1">'RIT_FUSIONS'!$A$1:$C$776</definedName>
    <definedName name="DadosExternos_1" localSheetId="9" hidden="1">'SD_7'!$A$1:$B$3458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8" i="19" l="1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D227" i="11" l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C636" i="17"/>
  <c r="C637" i="17"/>
  <c r="C638" i="17"/>
  <c r="C639" i="17"/>
  <c r="C640" i="17"/>
  <c r="C641" i="17"/>
  <c r="C1434" i="15"/>
  <c r="C1435" i="15"/>
  <c r="D1434" i="15"/>
  <c r="D1435" i="15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3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4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5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6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7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8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9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0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1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2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3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4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5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6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7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8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19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0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1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2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3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<sst xmlns="http://schemas.openxmlformats.org/spreadsheetml/2006/main" count="18472" uniqueCount="788">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</sst>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11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776" tableType="queryTable" totalsRowShown="0" headerRowDxfId="110" dataDxfId="109">
  <autoFilter ref="A1:D776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08"/>
    <tableColumn id="2" xr3:uid="{F880E8D1-6C28-4099-9845-EA88013A035E}" uniqueName="2" name="DATA" queryTableFieldId="2" dataDxfId="107"/>
    <tableColumn id="3" xr3:uid="{57A33A25-B0AE-4792-AFB1-FFA2C978BE40}" uniqueName="3" name="VISTORIADOR" queryTableFieldId="3" dataDxfId="106"/>
    <tableColumn id="4" xr3:uid="{05F87BF3-278B-496B-9F4A-9DEAAA44832D}" uniqueName="4" name="FLAG_NOVO" queryTableFieldId="4" dataDxfId="105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042" totalsRowShown="0" headerRowDxfId="104" dataDxfId="103">
  <sortState xmlns:xlrd2="http://schemas.microsoft.com/office/spreadsheetml/2017/richdata2" ref="A2:D1826">
    <sortCondition ref="B1:B1826"/>
  </sortState>
  <tableColumns count="4">
    <tableColumn id="1" xr3:uid="{C0E093F5-77B9-4811-A4A6-A8C1909BF4AE}" name="ID" dataDxfId="102"/>
    <tableColumn id="2" xr3:uid="{E090F70F-A86B-40C4-90A6-19A978B3A0EA}" name="DATA" dataDxfId="101"/>
    <tableColumn id="3" xr3:uid="{95BEDCF8-FFA2-4848-A153-81216743EACE}" name="VISTORIADOR" dataDxfId="100"/>
    <tableColumn id="4" xr3:uid="{7C7ABEC8-119B-4C97-9AC4-48A55E717318}" name="MÊS" dataDxfId="99">
      <calculatedColumnFormula>MONTH(B2)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91" tableType="queryTable" totalsRowShown="0" headerRowDxfId="98" dataDxfId="97">
  <autoFilter ref="A1:D191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96"/>
    <tableColumn id="2" xr3:uid="{33B1DD82-CBD7-47CD-AD30-199BB23161E6}" uniqueName="2" name="DATA" queryTableFieldId="2" dataDxfId="95"/>
    <tableColumn id="3" xr3:uid="{F5A03AF9-5163-4BDF-BCB8-68511D7E04C4}" uniqueName="3" name="VISTORIADOR" queryTableFieldId="3" dataDxfId="94"/>
    <tableColumn id="4" xr3:uid="{F5F10453-4CE7-48B7-B57C-3B84A17E6ED2}" uniqueName="4" name="FLAG_NOVO" queryTableFieldId="4" dataDxfId="93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04" totalsRowShown="0" headerRowDxfId="92" dataDxfId="91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90"/>
    <tableColumn id="2" xr3:uid="{CEC8F604-1349-496E-990B-C5EE216BD0E9}" name="DATA" dataDxfId="89"/>
    <tableColumn id="3" xr3:uid="{0F017C7A-66B2-4D7C-A2B2-F4A6A8E24955}" name="VISTORIADOR" dataDxfId="88"/>
    <tableColumn id="4" xr3:uid="{3076E270-6260-4B11-BD80-8371FA5C208E}" name="MÊS" dataDxfId="87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287" tableType="queryTable" totalsRowShown="0" headerRowDxfId="86" dataDxfId="85">
  <autoFilter ref="A1:D1287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84"/>
    <tableColumn id="2" xr3:uid="{B4848136-0BA2-40FB-A7DF-313A024D3D08}" uniqueName="2" name="DATA" queryTableFieldId="2" dataDxfId="83"/>
    <tableColumn id="3" xr3:uid="{FB47D4DC-3FD9-4842-BA89-DFBB761AE550}" uniqueName="3" name="GESTORES" queryTableFieldId="3" dataDxfId="82"/>
    <tableColumn id="4" xr3:uid="{DF7F6FED-B2F1-4849-B849-5601917C616B}" uniqueName="4" name="FLAG_NOVO" queryTableFieldId="4" dataDxfId="81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01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80"/>
    <tableColumn id="2" xr3:uid="{919858C3-6CE9-494C-9466-12C4478BB7C9}" name="DATA" dataDxfId="79"/>
    <tableColumn id="3" xr3:uid="{7264B951-F603-4390-811C-70CC63BA9E88}" name="VISTORIADOR" dataDxfId="78"/>
    <tableColumn id="4" xr3:uid="{4FCCAEAD-3242-4CF0-8F0E-4789A0289B00}" name="MÊS" dataDxfId="77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27" totalsRowShown="0" headerRowDxfId="76" dataDxfId="75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74"/>
    <tableColumn id="2" xr3:uid="{18AECB4F-E5F4-4744-A30A-E027895B943C}" name="DATA" dataDxfId="73"/>
    <tableColumn id="3" xr3:uid="{97FC8318-F6FC-406A-87F8-1FD2CFDBC47C}" name="VISTORIADOR" dataDxfId="72"/>
    <tableColumn id="4" xr3:uid="{809081BF-1337-46FE-BD28-D36A797454CE}" name="MÊS" dataDxfId="71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22" tableType="queryTable" totalsRowShown="0" headerRowDxfId="70" dataDxfId="69">
  <autoFilter ref="A1:D622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68"/>
    <tableColumn id="2" xr3:uid="{24193972-26D9-4ADF-8F89-20F8D5839CAB}" uniqueName="2" name="DATA" queryTableFieldId="2" dataDxfId="67"/>
    <tableColumn id="3" xr3:uid="{DB5DBEBC-D7E3-49C2-A0F5-79BA0EEA24F7}" uniqueName="3" name="GESTORES" queryTableFieldId="3" dataDxfId="66"/>
    <tableColumn id="4" xr3:uid="{79DF6992-E834-4E9A-BAAD-BAFB987325CA}" uniqueName="4" name="FLAG_NOVO" queryTableFieldId="4" dataDxfId="65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22" totalsRowShown="0" headerRowDxfId="64" dataDxfId="63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62"/>
    <tableColumn id="2" xr3:uid="{4668F65F-3D98-44CC-902B-A554AED50AF6}" name="DATA" dataDxfId="61"/>
    <tableColumn id="3" xr3:uid="{CB326BFE-9810-43CC-B95B-D43E5DA01645}" name="VISTORIADOR" dataDxfId="60"/>
    <tableColumn id="4" xr3:uid="{02A0D429-69CF-4575-A65F-3C22CF27E1C8}" name="MÊS" dataDxfId="59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58" tableType="queryTable" totalsRowShown="0" headerRowDxfId="58" dataDxfId="57">
  <sortState xmlns:xlrd2="http://schemas.microsoft.com/office/spreadsheetml/2017/richdata2" ref="A2:B3458">
    <sortCondition ref="A1:A3458"/>
  </sortState>
  <tableColumns count="2">
    <tableColumn id="1" xr3:uid="{2EE56CD8-39B5-4869-8505-41849BD63862}" uniqueName="1" name="DATA" queryTableFieldId="1" dataDxfId="56"/>
    <tableColumn id="2" xr3:uid="{C5BFE035-B099-4161-8912-C8872BD57198}" uniqueName="2" name="GESTORES" queryTableFieldId="2" dataDxfId="55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35" totalsRowShown="0" headerRowDxfId="54" dataDxfId="53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52"/>
    <tableColumn id="2" xr3:uid="{C05B1FA0-D9E2-404C-BFC3-90F6A361A5FE}" name="VISTORIADOR" dataDxfId="51"/>
    <tableColumn id="3" xr3:uid="{F8E364E2-CD68-4208-AB75-80A6C3B68660}" name="ANO" dataDxfId="50">
      <calculatedColumnFormula>YEAR(Tabela14[[#This Row],[DATA]])</calculatedColumnFormula>
    </tableColumn>
    <tableColumn id="4" xr3:uid="{A708E784-3DEF-4538-A6F0-FAE569B72CA1}" name="MÊS" dataDxfId="49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41" tableType="queryTable" totalsRowShown="0" headerRowDxfId="48" dataDxfId="47">
  <sortState xmlns:xlrd2="http://schemas.microsoft.com/office/spreadsheetml/2017/richdata2" ref="A2:B641">
    <sortCondition ref="A1:A641"/>
  </sortState>
  <tableColumns count="2">
    <tableColumn id="1" xr3:uid="{CAFF9E68-690F-42BC-A909-8CF61E30151D}" uniqueName="1" name="DATA ENVIO" queryTableFieldId="1" dataDxfId="46"/>
    <tableColumn id="2" xr3:uid="{A8425FD9-01E9-463E-8003-E6CC9750B80A}" uniqueName="2" name="GESTORES" queryTableFieldId="2" dataDxfId="4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41" totalsRowShown="0" headerRowDxfId="44" dataDxfId="43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42"/>
    <tableColumn id="2" xr3:uid="{DD28B753-F765-49F4-8BD3-E6E093869FFC}" name="VISTORIADOR" dataDxfId="41"/>
    <tableColumn id="3" xr3:uid="{4D995B83-CEA9-4705-B6E6-E31CD66B4E6A}" name="MÊS" dataDxfId="40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2" tableType="queryTable" totalsRowShown="0" headerRowDxfId="29" dataDxfId="28">
  <sortState xmlns:xlrd2="http://schemas.microsoft.com/office/spreadsheetml/2017/richdata2" ref="A2:AB302">
    <sortCondition ref="M1:M302"/>
  </sortState>
  <tableColumns count="28">
    <tableColumn id="1" xr3:uid="{5635288C-6377-4809-9397-4CBC671738F8}" uniqueName="1" name="COD_PREDIO" queryTableFieldId="1" dataDxfId="27"/>
    <tableColumn id="2" xr3:uid="{4B97C6B1-E42D-4EA8-9874-23F1543CE282}" uniqueName="2" name="CLUSTER" queryTableFieldId="2" dataDxfId="26"/>
    <tableColumn id="3" xr3:uid="{1A9A9456-BD32-4F60-829F-527C891B9EBC}" uniqueName="3" name="TIPO_ID" queryTableFieldId="3" dataDxfId="25"/>
    <tableColumn id="4" xr3:uid="{E34BE1E5-70A4-422F-8050-ED63A832E7A6}" uniqueName="4" name="ESTEIRA" queryTableFieldId="4" dataDxfId="24"/>
    <tableColumn id="5" xr3:uid="{F3E22555-9649-4DE6-9C70-1C448928A876}" uniqueName="5" name="dat_LibComercial" queryTableFieldId="5" dataDxfId="23"/>
    <tableColumn id="6" xr3:uid="{EED916BB-04B4-435D-A5A5-8935067E4963}" uniqueName="6" name="AT" queryTableFieldId="6" dataDxfId="22"/>
    <tableColumn id="7" xr3:uid="{9739FD16-0799-4FAD-8E8F-56E5C49C58A0}" uniqueName="7" name="nom_End" queryTableFieldId="7" dataDxfId="21"/>
    <tableColumn id="8" xr3:uid="{45D210AA-CDAB-4BD0-A410-529B44D4A7A3}" uniqueName="8" name="val_Numero" queryTableFieldId="8" dataDxfId="20"/>
    <tableColumn id="9" xr3:uid="{7DED0E59-EF39-4820-9756-787A649579AD}" uniqueName="9" name="CABO " queryTableFieldId="9" dataDxfId="19"/>
    <tableColumn id="10" xr3:uid="{964FB57C-E0E8-434E-B4C8-DEEEC8189090}" uniqueName="10" name="PRIMARIA" queryTableFieldId="10" dataDxfId="18"/>
    <tableColumn id="11" xr3:uid="{BD4F96C1-599F-45AD-9F78-0AC09265B3E8}" uniqueName="11" name="CONT" queryTableFieldId="11" dataDxfId="17"/>
    <tableColumn id="12" xr3:uid="{1ED40CE4-7C3D-4333-8682-915386844EDC}" uniqueName="12" name="LOCAL /ANDAR" queryTableFieldId="12" dataDxfId="16"/>
    <tableColumn id="13" xr3:uid="{B82DF3A3-E227-456F-A393-13C9CACF2038}" uniqueName="13" name="Data visita Gestor" queryTableFieldId="13" dataDxfId="15"/>
    <tableColumn id="14" xr3:uid="{838A7928-7E51-42BC-8556-0942668BB20C}" uniqueName="14" name="GESTOR" queryTableFieldId="14" dataDxfId="14"/>
    <tableColumn id="15" xr3:uid="{64C0949C-D94C-49FF-B36B-C1FD9C2F03D3}" uniqueName="15" name="Status" queryTableFieldId="15" dataDxfId="13"/>
    <tableColumn id="16" xr3:uid="{73658CC2-762E-45F6-B5A5-B1C0DE043A69}" uniqueName="16" name="Validação Gestão" queryTableFieldId="16" dataDxfId="12"/>
    <tableColumn id="17" xr3:uid="{DA16EA54-56A1-48FA-BFA1-81168698D3B9}" uniqueName="17" name="Formalizado" queryTableFieldId="17" dataDxfId="11"/>
    <tableColumn id="18" xr3:uid="{7CF6A7C5-DE53-43BF-87AC-4A7496EA863F}" uniqueName="18" name="Retorno Implantação" queryTableFieldId="18" dataDxfId="10"/>
    <tableColumn id="19" xr3:uid="{D4874677-3DBD-49EB-8622-54410B926826}" uniqueName="19" name="Validado" queryTableFieldId="19" dataDxfId="9"/>
    <tableColumn id="20" xr3:uid="{65B19EB8-3C27-4043-8713-F10E65E8DB32}" uniqueName="20" name="Pendente" queryTableFieldId="20" dataDxfId="8"/>
    <tableColumn id="21" xr3:uid="{1D4C8D38-89EE-47D0-B787-81EB5BA5FA9D}" uniqueName="21" name="Nok" queryTableFieldId="21" dataDxfId="7"/>
    <tableColumn id="22" xr3:uid="{20D3B788-E94D-4DD7-9E38-E095818A30B7}" uniqueName="22" name="Acesso Negado" queryTableFieldId="22" dataDxfId="6"/>
    <tableColumn id="23" xr3:uid="{CB85C210-BAF8-4BA5-B1EA-8FAC0E721810}" uniqueName="23" name="Ano" queryTableFieldId="23" dataDxfId="5"/>
    <tableColumn id="24" xr3:uid="{74136298-36CA-44B0-9732-7C8847A38137}" uniqueName="24" name="Semana" queryTableFieldId="24" dataDxfId="4"/>
    <tableColumn id="25" xr3:uid="{E81DA990-B217-4506-8CE2-1A2EC7720BEA}" uniqueName="25" name="Flag_Mês" queryTableFieldId="25" dataDxfId="3"/>
    <tableColumn id="26" xr3:uid="{AC5C2F2B-519A-4CDA-B47C-0DB33E1CDE93}" uniqueName="26" name="Flag_Dia" queryTableFieldId="26" dataDxfId="2"/>
    <tableColumn id="27" xr3:uid="{C37B48BB-B672-4E56-B3C3-4CA45E4E39FA}" uniqueName="27" name="Column27" queryTableFieldId="27" dataDxfId="1"/>
    <tableColumn id="28" xr3:uid="{12BF2D23-4F5C-4891-9D9B-214EEEFCB193}" uniqueName="28" name="MÊS" queryTableFieldId="28" dataDxfId="0">
      <calculatedColumnFormula>MONTH(M2)</calculatedColumnFormula>
    </tableColumn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39" dataDxfId="37" headerRowBorderDxfId="38" tableBorderDxfId="36" totalsRowBorderDxfId="35">
  <autoFilter ref="A1:E366" xr:uid="{BDBDA064-5BA7-4ACB-BCB4-F03D4D28D1CD}"/>
  <tableColumns count="5">
    <tableColumn id="1" xr3:uid="{63526D78-790B-4C8D-A09C-A28596EBEEB8}" name="DATA" dataDxfId="34"/>
    <tableColumn id="2" xr3:uid="{437CEC21-F0D6-4903-925F-AA7ECF07196B}" name="DIA_SEM" dataDxfId="33">
      <calculatedColumnFormula>UPPER(TEXT(A2,"DDD"))</calculatedColumnFormula>
    </tableColumn>
    <tableColumn id="3" xr3:uid="{66EFF1CF-2221-4DC1-BDAA-1989962C4478}" name="DU" dataDxfId="32"/>
    <tableColumn id="4" xr3:uid="{9E6E3B92-80CA-489C-98A6-F21D7B16F7AE}" name="MÊS" dataDxfId="31">
      <calculatedColumnFormula>MONTH(A2)</calculatedColumnFormula>
    </tableColumn>
    <tableColumn id="5" xr3:uid="{7FC10327-FB09-4F3E-98E2-268BB80641C3}" name="DU_ACUM" dataDxfId="30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776"/>
  <sheetViews>
    <sheetView showGridLines="0" workbookViewId="0">
      <selection sqref="A1:D776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47424</v>
      </c>
      <c r="B2" s="2">
        <v>46312</v>
      </c>
      <c r="C2" s="1" t="s">
        <v>10</v>
      </c>
      <c r="D2" s="1">
        <f>IFERROR(VLOOKUP(RIT_FUSIONS[[#This Row],[ID]],RIT_ACUM!A:A,1,0),"NOVO")</f>
        <v>47424</v>
      </c>
    </row>
    <row r="3" spans="1:4" hidden="1" x14ac:dyDescent="0.35">
      <c r="A3" s="1">
        <v>47417</v>
      </c>
      <c r="B3" s="2">
        <v>46312</v>
      </c>
      <c r="C3" s="1" t="s">
        <v>10</v>
      </c>
      <c r="D3" s="1">
        <f>IFERROR(VLOOKUP(RIT_FUSIONS[[#This Row],[ID]],RIT_ACUM!A:A,1,0),"NOVO")</f>
        <v>47417</v>
      </c>
    </row>
    <row r="4" spans="1:4" hidden="1" x14ac:dyDescent="0.35">
      <c r="A4" s="1">
        <v>47414</v>
      </c>
      <c r="B4" s="2">
        <v>46312</v>
      </c>
      <c r="C4" s="1" t="s">
        <v>17</v>
      </c>
      <c r="D4" s="1">
        <f>IFERROR(VLOOKUP(RIT_FUSIONS[[#This Row],[ID]],RIT_ACUM!A:A,1,0),"NOVO")</f>
        <v>47414</v>
      </c>
    </row>
    <row r="5" spans="1:4" hidden="1" x14ac:dyDescent="0.35">
      <c r="A5" s="1">
        <v>47413</v>
      </c>
      <c r="B5" s="2">
        <v>46312</v>
      </c>
      <c r="C5" s="1" t="s">
        <v>17</v>
      </c>
      <c r="D5" s="1">
        <f>IFERROR(VLOOKUP(RIT_FUSIONS[[#This Row],[ID]],RIT_ACUM!A:A,1,0),"NOVO")</f>
        <v>47413</v>
      </c>
    </row>
    <row r="6" spans="1:4" hidden="1" x14ac:dyDescent="0.35">
      <c r="A6" s="1">
        <v>47412</v>
      </c>
      <c r="B6" s="2">
        <v>46312</v>
      </c>
      <c r="C6" s="1" t="s">
        <v>17</v>
      </c>
      <c r="D6" s="1">
        <f>IFERROR(VLOOKUP(RIT_FUSIONS[[#This Row],[ID]],RIT_ACUM!A:A,1,0),"NOVO")</f>
        <v>47412</v>
      </c>
    </row>
    <row r="7" spans="1:4" hidden="1" x14ac:dyDescent="0.35">
      <c r="A7" s="1">
        <v>47407</v>
      </c>
      <c r="B7" s="2">
        <v>46312</v>
      </c>
      <c r="C7" s="1" t="s">
        <v>10</v>
      </c>
      <c r="D7" s="1">
        <f>IFERROR(VLOOKUP(RIT_FUSIONS[[#This Row],[ID]],RIT_ACUM!A:A,1,0),"NOVO")</f>
        <v>47407</v>
      </c>
    </row>
    <row r="8" spans="1:4" hidden="1" x14ac:dyDescent="0.35">
      <c r="A8" s="1">
        <v>47405</v>
      </c>
      <c r="B8" s="2">
        <v>46311</v>
      </c>
      <c r="C8" s="1" t="s">
        <v>15</v>
      </c>
      <c r="D8" s="1">
        <f>IFERROR(VLOOKUP(RIT_FUSIONS[[#This Row],[ID]],RIT_ACUM!A:A,1,0),"NOVO")</f>
        <v>47405</v>
      </c>
    </row>
    <row r="9" spans="1:4" hidden="1" x14ac:dyDescent="0.35">
      <c r="A9" s="1">
        <v>47404</v>
      </c>
      <c r="B9" s="2">
        <v>46311</v>
      </c>
      <c r="C9" s="1" t="s">
        <v>15</v>
      </c>
      <c r="D9" s="1">
        <f>IFERROR(VLOOKUP(RIT_FUSIONS[[#This Row],[ID]],RIT_ACUM!A:A,1,0),"NOVO")</f>
        <v>47404</v>
      </c>
    </row>
    <row r="10" spans="1:4" hidden="1" x14ac:dyDescent="0.35">
      <c r="A10" s="1">
        <v>47403</v>
      </c>
      <c r="B10" s="2">
        <v>46311</v>
      </c>
      <c r="C10" s="1" t="s">
        <v>15</v>
      </c>
      <c r="D10" s="1">
        <f>IFERROR(VLOOKUP(RIT_FUSIONS[[#This Row],[ID]],RIT_ACUM!A:A,1,0),"NOVO")</f>
        <v>47403</v>
      </c>
    </row>
    <row r="11" spans="1:4" hidden="1" x14ac:dyDescent="0.35">
      <c r="A11" s="1">
        <v>47402</v>
      </c>
      <c r="B11" s="2">
        <v>46311</v>
      </c>
      <c r="C11" s="1" t="s">
        <v>10</v>
      </c>
      <c r="D11" s="1">
        <f>IFERROR(VLOOKUP(RIT_FUSIONS[[#This Row],[ID]],RIT_ACUM!A:A,1,0),"NOVO")</f>
        <v>47402</v>
      </c>
    </row>
    <row r="12" spans="1:4" hidden="1" x14ac:dyDescent="0.35">
      <c r="A12" s="1">
        <v>47401</v>
      </c>
      <c r="B12" s="2">
        <v>46311</v>
      </c>
      <c r="C12" s="1" t="s">
        <v>9</v>
      </c>
      <c r="D12" s="1">
        <f>IFERROR(VLOOKUP(RIT_FUSIONS[[#This Row],[ID]],RIT_ACUM!A:A,1,0),"NOVO")</f>
        <v>47401</v>
      </c>
    </row>
    <row r="13" spans="1:4" hidden="1" x14ac:dyDescent="0.35">
      <c r="A13" s="1">
        <v>47398</v>
      </c>
      <c r="B13" s="2">
        <v>46311</v>
      </c>
      <c r="C13" s="1" t="s">
        <v>21</v>
      </c>
      <c r="D13" s="1">
        <f>IFERROR(VLOOKUP(RIT_FUSIONS[[#This Row],[ID]],RIT_ACUM!A:A,1,0),"NOVO")</f>
        <v>47398</v>
      </c>
    </row>
    <row r="14" spans="1:4" hidden="1" x14ac:dyDescent="0.35">
      <c r="A14" s="1">
        <v>47395</v>
      </c>
      <c r="B14" s="2">
        <v>46311</v>
      </c>
      <c r="C14" s="1" t="s">
        <v>9</v>
      </c>
      <c r="D14" s="1">
        <f>IFERROR(VLOOKUP(RIT_FUSIONS[[#This Row],[ID]],RIT_ACUM!A:A,1,0),"NOVO")</f>
        <v>47395</v>
      </c>
    </row>
    <row r="15" spans="1:4" hidden="1" x14ac:dyDescent="0.35">
      <c r="A15" s="1">
        <v>47394</v>
      </c>
      <c r="B15" s="2">
        <v>46311</v>
      </c>
      <c r="C15" s="1" t="s">
        <v>9</v>
      </c>
      <c r="D15" s="1">
        <f>IFERROR(VLOOKUP(RIT_FUSIONS[[#This Row],[ID]],RIT_ACUM!A:A,1,0),"NOVO")</f>
        <v>47394</v>
      </c>
    </row>
    <row r="16" spans="1:4" hidden="1" x14ac:dyDescent="0.35">
      <c r="A16" s="1">
        <v>47391</v>
      </c>
      <c r="B16" s="2">
        <v>46311</v>
      </c>
      <c r="C16" s="1" t="s">
        <v>22</v>
      </c>
      <c r="D16" s="1">
        <f>IFERROR(VLOOKUP(RIT_FUSIONS[[#This Row],[ID]],RIT_ACUM!A:A,1,0),"NOVO")</f>
        <v>47391</v>
      </c>
    </row>
    <row r="17" spans="1:4" hidden="1" x14ac:dyDescent="0.35">
      <c r="A17" s="1">
        <v>47390</v>
      </c>
      <c r="B17" s="2">
        <v>46311</v>
      </c>
      <c r="C17" s="1" t="s">
        <v>22</v>
      </c>
      <c r="D17" s="1">
        <f>IFERROR(VLOOKUP(RIT_FUSIONS[[#This Row],[ID]],RIT_ACUM!A:A,1,0),"NOVO")</f>
        <v>47390</v>
      </c>
    </row>
    <row r="18" spans="1:4" hidden="1" x14ac:dyDescent="0.35">
      <c r="A18" s="1">
        <v>47389</v>
      </c>
      <c r="B18" s="2">
        <v>46311</v>
      </c>
      <c r="C18" s="1" t="s">
        <v>22</v>
      </c>
      <c r="D18" s="1">
        <f>IFERROR(VLOOKUP(RIT_FUSIONS[[#This Row],[ID]],RIT_ACUM!A:A,1,0),"NOVO")</f>
        <v>47389</v>
      </c>
    </row>
    <row r="19" spans="1:4" hidden="1" x14ac:dyDescent="0.35">
      <c r="A19" s="1">
        <v>47387</v>
      </c>
      <c r="B19" s="2">
        <v>46311</v>
      </c>
      <c r="C19" s="1" t="s">
        <v>22</v>
      </c>
      <c r="D19" s="1">
        <f>IFERROR(VLOOKUP(RIT_FUSIONS[[#This Row],[ID]],RIT_ACUM!A:A,1,0),"NOVO")</f>
        <v>47387</v>
      </c>
    </row>
    <row r="20" spans="1:4" hidden="1" x14ac:dyDescent="0.35">
      <c r="A20" s="1">
        <v>47386</v>
      </c>
      <c r="B20" s="2">
        <v>46311</v>
      </c>
      <c r="C20" s="1" t="s">
        <v>22</v>
      </c>
      <c r="D20" s="1">
        <f>IFERROR(VLOOKUP(RIT_FUSIONS[[#This Row],[ID]],RIT_ACUM!A:A,1,0),"NOVO")</f>
        <v>47386</v>
      </c>
    </row>
    <row r="21" spans="1:4" hidden="1" x14ac:dyDescent="0.35">
      <c r="A21" s="1">
        <v>47384</v>
      </c>
      <c r="B21" s="2">
        <v>46311</v>
      </c>
      <c r="C21" s="1" t="s">
        <v>22</v>
      </c>
      <c r="D21" s="1">
        <f>IFERROR(VLOOKUP(RIT_FUSIONS[[#This Row],[ID]],RIT_ACUM!A:A,1,0),"NOVO")</f>
        <v>47384</v>
      </c>
    </row>
    <row r="22" spans="1:4" hidden="1" x14ac:dyDescent="0.35">
      <c r="A22" s="1">
        <v>47382</v>
      </c>
      <c r="B22" s="2">
        <v>46311</v>
      </c>
      <c r="C22" s="1" t="s">
        <v>22</v>
      </c>
      <c r="D22" s="1">
        <f>IFERROR(VLOOKUP(RIT_FUSIONS[[#This Row],[ID]],RIT_ACUM!A:A,1,0),"NOVO")</f>
        <v>47382</v>
      </c>
    </row>
    <row r="23" spans="1:4" hidden="1" x14ac:dyDescent="0.35">
      <c r="A23" s="1">
        <v>47381</v>
      </c>
      <c r="B23" s="2">
        <v>46311</v>
      </c>
      <c r="C23" s="1" t="s">
        <v>22</v>
      </c>
      <c r="D23" s="1">
        <f>IFERROR(VLOOKUP(RIT_FUSIONS[[#This Row],[ID]],RIT_ACUM!A:A,1,0),"NOVO")</f>
        <v>47381</v>
      </c>
    </row>
    <row r="24" spans="1:4" hidden="1" x14ac:dyDescent="0.35">
      <c r="A24" s="1">
        <v>47379</v>
      </c>
      <c r="B24" s="2">
        <v>46311</v>
      </c>
      <c r="C24" s="1" t="s">
        <v>22</v>
      </c>
      <c r="D24" s="1">
        <f>IFERROR(VLOOKUP(RIT_FUSIONS[[#This Row],[ID]],RIT_ACUM!A:A,1,0),"NOVO")</f>
        <v>47379</v>
      </c>
    </row>
    <row r="25" spans="1:4" hidden="1" x14ac:dyDescent="0.35">
      <c r="A25" s="1">
        <v>47378</v>
      </c>
      <c r="B25" s="2">
        <v>46311</v>
      </c>
      <c r="C25" s="1" t="s">
        <v>22</v>
      </c>
      <c r="D25" s="1">
        <f>IFERROR(VLOOKUP(RIT_FUSIONS[[#This Row],[ID]],RIT_ACUM!A:A,1,0),"NOVO")</f>
        <v>47378</v>
      </c>
    </row>
    <row r="26" spans="1:4" hidden="1" x14ac:dyDescent="0.35">
      <c r="A26" s="1">
        <v>47376</v>
      </c>
      <c r="B26" s="2">
        <v>46311</v>
      </c>
      <c r="C26" s="1" t="s">
        <v>22</v>
      </c>
      <c r="D26" s="1">
        <f>IFERROR(VLOOKUP(RIT_FUSIONS[[#This Row],[ID]],RIT_ACUM!A:A,1,0),"NOVO")</f>
        <v>47376</v>
      </c>
    </row>
    <row r="27" spans="1:4" hidden="1" x14ac:dyDescent="0.35">
      <c r="A27" s="1">
        <v>47374</v>
      </c>
      <c r="B27" s="2">
        <v>46311</v>
      </c>
      <c r="C27" s="1" t="s">
        <v>22</v>
      </c>
      <c r="D27" s="1">
        <f>IFERROR(VLOOKUP(RIT_FUSIONS[[#This Row],[ID]],RIT_ACUM!A:A,1,0),"NOVO")</f>
        <v>47374</v>
      </c>
    </row>
    <row r="28" spans="1:4" hidden="1" x14ac:dyDescent="0.35">
      <c r="A28" s="1">
        <v>47372</v>
      </c>
      <c r="B28" s="2">
        <v>46311</v>
      </c>
      <c r="C28" s="1" t="s">
        <v>22</v>
      </c>
      <c r="D28" s="1">
        <f>IFERROR(VLOOKUP(RIT_FUSIONS[[#This Row],[ID]],RIT_ACUM!A:A,1,0),"NOVO")</f>
        <v>47372</v>
      </c>
    </row>
    <row r="29" spans="1:4" hidden="1" x14ac:dyDescent="0.35">
      <c r="A29" s="1">
        <v>47371</v>
      </c>
      <c r="B29" s="2">
        <v>46311</v>
      </c>
      <c r="C29" s="1" t="s">
        <v>22</v>
      </c>
      <c r="D29" s="1">
        <f>IFERROR(VLOOKUP(RIT_FUSIONS[[#This Row],[ID]],RIT_ACUM!A:A,1,0),"NOVO")</f>
        <v>47371</v>
      </c>
    </row>
    <row r="30" spans="1:4" hidden="1" x14ac:dyDescent="0.35">
      <c r="A30" s="1">
        <v>47365</v>
      </c>
      <c r="B30" s="2">
        <v>46311</v>
      </c>
      <c r="C30" s="1" t="s">
        <v>7</v>
      </c>
      <c r="D30" s="1">
        <f>IFERROR(VLOOKUP(RIT_FUSIONS[[#This Row],[ID]],RIT_ACUM!A:A,1,0),"NOVO")</f>
        <v>47365</v>
      </c>
    </row>
    <row r="31" spans="1:4" hidden="1" x14ac:dyDescent="0.35">
      <c r="A31" s="1">
        <v>47363</v>
      </c>
      <c r="B31" s="2">
        <v>46311</v>
      </c>
      <c r="C31" s="1" t="s">
        <v>7</v>
      </c>
      <c r="D31" s="1">
        <f>IFERROR(VLOOKUP(RIT_FUSIONS[[#This Row],[ID]],RIT_ACUM!A:A,1,0),"NOVO")</f>
        <v>47363</v>
      </c>
    </row>
    <row r="32" spans="1:4" hidden="1" x14ac:dyDescent="0.35">
      <c r="A32" s="1">
        <v>47360</v>
      </c>
      <c r="B32" s="2">
        <v>46311</v>
      </c>
      <c r="C32" s="1" t="s">
        <v>6</v>
      </c>
      <c r="D32" s="1">
        <f>IFERROR(VLOOKUP(RIT_FUSIONS[[#This Row],[ID]],RIT_ACUM!A:A,1,0),"NOVO")</f>
        <v>47360</v>
      </c>
    </row>
    <row r="33" spans="1:4" hidden="1" x14ac:dyDescent="0.35">
      <c r="A33" s="1">
        <v>47359</v>
      </c>
      <c r="B33" s="2">
        <v>46311</v>
      </c>
      <c r="C33" s="1" t="s">
        <v>6</v>
      </c>
      <c r="D33" s="1">
        <f>IFERROR(VLOOKUP(RIT_FUSIONS[[#This Row],[ID]],RIT_ACUM!A:A,1,0),"NOVO")</f>
        <v>47359</v>
      </c>
    </row>
    <row r="34" spans="1:4" hidden="1" x14ac:dyDescent="0.35">
      <c r="A34" s="1">
        <v>47354</v>
      </c>
      <c r="B34" s="2">
        <v>46311</v>
      </c>
      <c r="C34" s="1" t="s">
        <v>3</v>
      </c>
      <c r="D34" s="1">
        <f>IFERROR(VLOOKUP(RIT_FUSIONS[[#This Row],[ID]],RIT_ACUM!A:A,1,0),"NOVO")</f>
        <v>47354</v>
      </c>
    </row>
    <row r="35" spans="1:4" hidden="1" x14ac:dyDescent="0.35">
      <c r="A35" s="1">
        <v>47352</v>
      </c>
      <c r="B35" s="2">
        <v>46311</v>
      </c>
      <c r="C35" s="1" t="s">
        <v>3</v>
      </c>
      <c r="D35" s="1">
        <f>IFERROR(VLOOKUP(RIT_FUSIONS[[#This Row],[ID]],RIT_ACUM!A:A,1,0),"NOVO")</f>
        <v>47352</v>
      </c>
    </row>
    <row r="36" spans="1:4" hidden="1" x14ac:dyDescent="0.35">
      <c r="A36" s="1">
        <v>47350</v>
      </c>
      <c r="B36" s="2">
        <v>46311</v>
      </c>
      <c r="C36" s="1" t="s">
        <v>21</v>
      </c>
      <c r="D36" s="1">
        <f>IFERROR(VLOOKUP(RIT_FUSIONS[[#This Row],[ID]],RIT_ACUM!A:A,1,0),"NOVO")</f>
        <v>47350</v>
      </c>
    </row>
    <row r="37" spans="1:4" hidden="1" x14ac:dyDescent="0.35">
      <c r="A37" s="1">
        <v>47349</v>
      </c>
      <c r="B37" s="2">
        <v>46310</v>
      </c>
      <c r="C37" s="1" t="s">
        <v>11</v>
      </c>
      <c r="D37" s="1">
        <f>IFERROR(VLOOKUP(RIT_FUSIONS[[#This Row],[ID]],RIT_ACUM!A:A,1,0),"NOVO")</f>
        <v>47349</v>
      </c>
    </row>
    <row r="38" spans="1:4" hidden="1" x14ac:dyDescent="0.35">
      <c r="A38" s="1">
        <v>47348</v>
      </c>
      <c r="B38" s="2">
        <v>46311</v>
      </c>
      <c r="C38" s="1" t="s">
        <v>21</v>
      </c>
      <c r="D38" s="1">
        <f>IFERROR(VLOOKUP(RIT_FUSIONS[[#This Row],[ID]],RIT_ACUM!A:A,1,0),"NOVO")</f>
        <v>47348</v>
      </c>
    </row>
    <row r="39" spans="1:4" hidden="1" x14ac:dyDescent="0.35">
      <c r="A39" s="1">
        <v>47346</v>
      </c>
      <c r="B39" s="2">
        <v>46311</v>
      </c>
      <c r="C39" s="1" t="s">
        <v>9</v>
      </c>
      <c r="D39" s="1">
        <f>IFERROR(VLOOKUP(RIT_FUSIONS[[#This Row],[ID]],RIT_ACUM!A:A,1,0),"NOVO")</f>
        <v>47346</v>
      </c>
    </row>
    <row r="40" spans="1:4" hidden="1" x14ac:dyDescent="0.35">
      <c r="A40" s="1">
        <v>47345</v>
      </c>
      <c r="B40" s="2">
        <v>46311</v>
      </c>
      <c r="C40" s="1" t="s">
        <v>9</v>
      </c>
      <c r="D40" s="1">
        <f>IFERROR(VLOOKUP(RIT_FUSIONS[[#This Row],[ID]],RIT_ACUM!A:A,1,0),"NOVO")</f>
        <v>47345</v>
      </c>
    </row>
    <row r="41" spans="1:4" hidden="1" x14ac:dyDescent="0.35">
      <c r="A41" s="1">
        <v>47343</v>
      </c>
      <c r="B41" s="2">
        <v>46311</v>
      </c>
      <c r="C41" s="1" t="s">
        <v>9</v>
      </c>
      <c r="D41" s="1">
        <f>IFERROR(VLOOKUP(RIT_FUSIONS[[#This Row],[ID]],RIT_ACUM!A:A,1,0),"NOVO")</f>
        <v>47343</v>
      </c>
    </row>
    <row r="42" spans="1:4" hidden="1" x14ac:dyDescent="0.35">
      <c r="A42" s="1">
        <v>47340</v>
      </c>
      <c r="B42" s="2">
        <v>46311</v>
      </c>
      <c r="C42" s="1" t="s">
        <v>19</v>
      </c>
      <c r="D42" s="1">
        <f>IFERROR(VLOOKUP(RIT_FUSIONS[[#This Row],[ID]],RIT_ACUM!A:A,1,0),"NOVO")</f>
        <v>47340</v>
      </c>
    </row>
    <row r="43" spans="1:4" hidden="1" x14ac:dyDescent="0.35">
      <c r="A43" s="1">
        <v>47339</v>
      </c>
      <c r="B43" s="2">
        <v>46310</v>
      </c>
      <c r="C43" s="1" t="s">
        <v>21</v>
      </c>
      <c r="D43" s="1">
        <f>IFERROR(VLOOKUP(RIT_FUSIONS[[#This Row],[ID]],RIT_ACUM!A:A,1,0),"NOVO")</f>
        <v>47339</v>
      </c>
    </row>
    <row r="44" spans="1:4" hidden="1" x14ac:dyDescent="0.35">
      <c r="A44" s="1">
        <v>47338</v>
      </c>
      <c r="B44" s="2">
        <v>46310</v>
      </c>
      <c r="C44" s="1" t="s">
        <v>21</v>
      </c>
      <c r="D44" s="1">
        <f>IFERROR(VLOOKUP(RIT_FUSIONS[[#This Row],[ID]],RIT_ACUM!A:A,1,0),"NOVO")</f>
        <v>47338</v>
      </c>
    </row>
    <row r="45" spans="1:4" hidden="1" x14ac:dyDescent="0.35">
      <c r="A45" s="1">
        <v>47337</v>
      </c>
      <c r="B45" s="2">
        <v>46310</v>
      </c>
      <c r="C45" s="1" t="s">
        <v>21</v>
      </c>
      <c r="D45" s="1">
        <f>IFERROR(VLOOKUP(RIT_FUSIONS[[#This Row],[ID]],RIT_ACUM!A:A,1,0),"NOVO")</f>
        <v>47337</v>
      </c>
    </row>
    <row r="46" spans="1:4" hidden="1" x14ac:dyDescent="0.35">
      <c r="A46" s="1">
        <v>47336</v>
      </c>
      <c r="B46" s="2">
        <v>46310</v>
      </c>
      <c r="C46" s="1" t="s">
        <v>10</v>
      </c>
      <c r="D46" s="1">
        <f>IFERROR(VLOOKUP(RIT_FUSIONS[[#This Row],[ID]],RIT_ACUM!A:A,1,0),"NOVO")</f>
        <v>47336</v>
      </c>
    </row>
    <row r="47" spans="1:4" hidden="1" x14ac:dyDescent="0.35">
      <c r="A47" s="1">
        <v>47335</v>
      </c>
      <c r="B47" s="2">
        <v>46310</v>
      </c>
      <c r="C47" s="1" t="s">
        <v>10</v>
      </c>
      <c r="D47" s="1">
        <f>IFERROR(VLOOKUP(RIT_FUSIONS[[#This Row],[ID]],RIT_ACUM!A:A,1,0),"NOVO")</f>
        <v>47335</v>
      </c>
    </row>
    <row r="48" spans="1:4" hidden="1" x14ac:dyDescent="0.35">
      <c r="A48" s="1">
        <v>47332</v>
      </c>
      <c r="B48" s="2">
        <v>46310</v>
      </c>
      <c r="C48" s="1" t="s">
        <v>103</v>
      </c>
      <c r="D48" s="1">
        <f>IFERROR(VLOOKUP(RIT_FUSIONS[[#This Row],[ID]],RIT_ACUM!A:A,1,0),"NOVO")</f>
        <v>47332</v>
      </c>
    </row>
    <row r="49" spans="1:4" hidden="1" x14ac:dyDescent="0.35">
      <c r="A49" s="1">
        <v>47331</v>
      </c>
      <c r="B49" s="2">
        <v>46310</v>
      </c>
      <c r="C49" s="1" t="s">
        <v>103</v>
      </c>
      <c r="D49" s="1">
        <f>IFERROR(VLOOKUP(RIT_FUSIONS[[#This Row],[ID]],RIT_ACUM!A:A,1,0),"NOVO")</f>
        <v>47331</v>
      </c>
    </row>
    <row r="50" spans="1:4" hidden="1" x14ac:dyDescent="0.35">
      <c r="A50" s="1">
        <v>47328</v>
      </c>
      <c r="B50" s="2">
        <v>46310</v>
      </c>
      <c r="C50" s="1" t="s">
        <v>9</v>
      </c>
      <c r="D50" s="1">
        <f>IFERROR(VLOOKUP(RIT_FUSIONS[[#This Row],[ID]],RIT_ACUM!A:A,1,0),"NOVO")</f>
        <v>47328</v>
      </c>
    </row>
    <row r="51" spans="1:4" hidden="1" x14ac:dyDescent="0.35">
      <c r="A51" s="1">
        <v>47319</v>
      </c>
      <c r="B51" s="2">
        <v>46310</v>
      </c>
      <c r="C51" s="1" t="s">
        <v>17</v>
      </c>
      <c r="D51" s="1">
        <f>IFERROR(VLOOKUP(RIT_FUSIONS[[#This Row],[ID]],RIT_ACUM!A:A,1,0),"NOVO")</f>
        <v>47319</v>
      </c>
    </row>
    <row r="52" spans="1:4" hidden="1" x14ac:dyDescent="0.35">
      <c r="A52" s="1">
        <v>47318</v>
      </c>
      <c r="B52" s="2">
        <v>46310</v>
      </c>
      <c r="C52" s="1" t="s">
        <v>17</v>
      </c>
      <c r="D52" s="1">
        <f>IFERROR(VLOOKUP(RIT_FUSIONS[[#This Row],[ID]],RIT_ACUM!A:A,1,0),"NOVO")</f>
        <v>47318</v>
      </c>
    </row>
    <row r="53" spans="1:4" hidden="1" x14ac:dyDescent="0.35">
      <c r="A53" s="1">
        <v>47315</v>
      </c>
      <c r="B53" s="2">
        <v>46310</v>
      </c>
      <c r="C53" s="1" t="s">
        <v>9</v>
      </c>
      <c r="D53" s="1">
        <f>IFERROR(VLOOKUP(RIT_FUSIONS[[#This Row],[ID]],RIT_ACUM!A:A,1,0),"NOVO")</f>
        <v>47315</v>
      </c>
    </row>
    <row r="54" spans="1:4" hidden="1" x14ac:dyDescent="0.35">
      <c r="A54" s="1">
        <v>47312</v>
      </c>
      <c r="B54" s="2">
        <v>46310</v>
      </c>
      <c r="C54" s="1" t="s">
        <v>7</v>
      </c>
      <c r="D54" s="1">
        <f>IFERROR(VLOOKUP(RIT_FUSIONS[[#This Row],[ID]],RIT_ACUM!A:A,1,0),"NOVO")</f>
        <v>47312</v>
      </c>
    </row>
    <row r="55" spans="1:4" hidden="1" x14ac:dyDescent="0.35">
      <c r="A55" s="1">
        <v>47311</v>
      </c>
      <c r="B55" s="2">
        <v>46310</v>
      </c>
      <c r="C55" s="1" t="s">
        <v>9</v>
      </c>
      <c r="D55" s="1">
        <f>IFERROR(VLOOKUP(RIT_FUSIONS[[#This Row],[ID]],RIT_ACUM!A:A,1,0),"NOVO")</f>
        <v>47311</v>
      </c>
    </row>
    <row r="56" spans="1:4" hidden="1" x14ac:dyDescent="0.35">
      <c r="A56" s="1">
        <v>47310</v>
      </c>
      <c r="B56" s="2">
        <v>46310</v>
      </c>
      <c r="C56" s="1" t="s">
        <v>9</v>
      </c>
      <c r="D56" s="1">
        <f>IFERROR(VLOOKUP(RIT_FUSIONS[[#This Row],[ID]],RIT_ACUM!A:A,1,0),"NOVO")</f>
        <v>47310</v>
      </c>
    </row>
    <row r="57" spans="1:4" hidden="1" x14ac:dyDescent="0.35">
      <c r="A57" s="1">
        <v>47309</v>
      </c>
      <c r="B57" s="2">
        <v>46310</v>
      </c>
      <c r="C57" s="1" t="s">
        <v>9</v>
      </c>
      <c r="D57" s="1">
        <f>IFERROR(VLOOKUP(RIT_FUSIONS[[#This Row],[ID]],RIT_ACUM!A:A,1,0),"NOVO")</f>
        <v>47309</v>
      </c>
    </row>
    <row r="58" spans="1:4" hidden="1" x14ac:dyDescent="0.35">
      <c r="A58" s="1">
        <v>47308</v>
      </c>
      <c r="B58" s="2">
        <v>46310</v>
      </c>
      <c r="C58" s="1" t="s">
        <v>9</v>
      </c>
      <c r="D58" s="1">
        <f>IFERROR(VLOOKUP(RIT_FUSIONS[[#This Row],[ID]],RIT_ACUM!A:A,1,0),"NOVO")</f>
        <v>47308</v>
      </c>
    </row>
    <row r="59" spans="1:4" hidden="1" x14ac:dyDescent="0.35">
      <c r="A59" s="1">
        <v>47306</v>
      </c>
      <c r="B59" s="2">
        <v>46310</v>
      </c>
      <c r="C59" s="1" t="s">
        <v>9</v>
      </c>
      <c r="D59" s="1">
        <f>IFERROR(VLOOKUP(RIT_FUSIONS[[#This Row],[ID]],RIT_ACUM!A:A,1,0),"NOVO")</f>
        <v>47306</v>
      </c>
    </row>
    <row r="60" spans="1:4" hidden="1" x14ac:dyDescent="0.35">
      <c r="A60" s="1">
        <v>47305</v>
      </c>
      <c r="B60" s="2">
        <v>46310</v>
      </c>
      <c r="C60" s="1" t="s">
        <v>9</v>
      </c>
      <c r="D60" s="1">
        <f>IFERROR(VLOOKUP(RIT_FUSIONS[[#This Row],[ID]],RIT_ACUM!A:A,1,0),"NOVO")</f>
        <v>47305</v>
      </c>
    </row>
    <row r="61" spans="1:4" hidden="1" x14ac:dyDescent="0.35">
      <c r="A61" s="1">
        <v>47304</v>
      </c>
      <c r="B61" s="2">
        <v>46310</v>
      </c>
      <c r="C61" s="1" t="s">
        <v>3</v>
      </c>
      <c r="D61" s="1">
        <f>IFERROR(VLOOKUP(RIT_FUSIONS[[#This Row],[ID]],RIT_ACUM!A:A,1,0),"NOVO")</f>
        <v>47304</v>
      </c>
    </row>
    <row r="62" spans="1:4" hidden="1" x14ac:dyDescent="0.35">
      <c r="A62" s="1">
        <v>47303</v>
      </c>
      <c r="B62" s="2">
        <v>46310</v>
      </c>
      <c r="C62" s="1" t="s">
        <v>3</v>
      </c>
      <c r="D62" s="1">
        <f>IFERROR(VLOOKUP(RIT_FUSIONS[[#This Row],[ID]],RIT_ACUM!A:A,1,0),"NOVO")</f>
        <v>47303</v>
      </c>
    </row>
    <row r="63" spans="1:4" hidden="1" x14ac:dyDescent="0.35">
      <c r="A63" s="1">
        <v>47299</v>
      </c>
      <c r="B63" s="2">
        <v>46310</v>
      </c>
      <c r="C63" s="1" t="s">
        <v>9</v>
      </c>
      <c r="D63" s="1">
        <f>IFERROR(VLOOKUP(RIT_FUSIONS[[#This Row],[ID]],RIT_ACUM!A:A,1,0),"NOVO")</f>
        <v>47299</v>
      </c>
    </row>
    <row r="64" spans="1:4" hidden="1" x14ac:dyDescent="0.35">
      <c r="A64" s="1">
        <v>47298</v>
      </c>
      <c r="B64" s="2">
        <v>46310</v>
      </c>
      <c r="C64" s="1" t="s">
        <v>19</v>
      </c>
      <c r="D64" s="1">
        <f>IFERROR(VLOOKUP(RIT_FUSIONS[[#This Row],[ID]],RIT_ACUM!A:A,1,0),"NOVO")</f>
        <v>47298</v>
      </c>
    </row>
    <row r="65" spans="1:4" hidden="1" x14ac:dyDescent="0.35">
      <c r="A65" s="1">
        <v>47297</v>
      </c>
      <c r="B65" s="2">
        <v>46310</v>
      </c>
      <c r="C65" s="1" t="s">
        <v>19</v>
      </c>
      <c r="D65" s="1">
        <f>IFERROR(VLOOKUP(RIT_FUSIONS[[#This Row],[ID]],RIT_ACUM!A:A,1,0),"NOVO")</f>
        <v>47297</v>
      </c>
    </row>
    <row r="66" spans="1:4" hidden="1" x14ac:dyDescent="0.35">
      <c r="A66" s="1">
        <v>47294</v>
      </c>
      <c r="B66" s="2">
        <v>46310</v>
      </c>
      <c r="C66" s="1" t="s">
        <v>9</v>
      </c>
      <c r="D66" s="1">
        <f>IFERROR(VLOOKUP(RIT_FUSIONS[[#This Row],[ID]],RIT_ACUM!A:A,1,0),"NOVO")</f>
        <v>47294</v>
      </c>
    </row>
    <row r="67" spans="1:4" hidden="1" x14ac:dyDescent="0.35">
      <c r="A67" s="1">
        <v>47293</v>
      </c>
      <c r="B67" s="2">
        <v>46310</v>
      </c>
      <c r="C67" s="1" t="s">
        <v>21</v>
      </c>
      <c r="D67" s="1">
        <f>IFERROR(VLOOKUP(RIT_FUSIONS[[#This Row],[ID]],RIT_ACUM!A:A,1,0),"NOVO")</f>
        <v>47293</v>
      </c>
    </row>
    <row r="68" spans="1:4" hidden="1" x14ac:dyDescent="0.35">
      <c r="A68" s="1">
        <v>47292</v>
      </c>
      <c r="B68" s="2">
        <v>46310</v>
      </c>
      <c r="C68" s="1" t="s">
        <v>19</v>
      </c>
      <c r="D68" s="1">
        <f>IFERROR(VLOOKUP(RIT_FUSIONS[[#This Row],[ID]],RIT_ACUM!A:A,1,0),"NOVO")</f>
        <v>47292</v>
      </c>
    </row>
    <row r="69" spans="1:4" hidden="1" x14ac:dyDescent="0.35">
      <c r="A69" s="1">
        <v>47289</v>
      </c>
      <c r="B69" s="2">
        <v>46309</v>
      </c>
      <c r="C69" s="1" t="s">
        <v>3</v>
      </c>
      <c r="D69" s="1">
        <f>IFERROR(VLOOKUP(RIT_FUSIONS[[#This Row],[ID]],RIT_ACUM!A:A,1,0),"NOVO")</f>
        <v>47289</v>
      </c>
    </row>
    <row r="70" spans="1:4" hidden="1" x14ac:dyDescent="0.35">
      <c r="A70" s="1">
        <v>47281</v>
      </c>
      <c r="B70" s="2">
        <v>46309</v>
      </c>
      <c r="C70" s="1" t="s">
        <v>21</v>
      </c>
      <c r="D70" s="1">
        <f>IFERROR(VLOOKUP(RIT_FUSIONS[[#This Row],[ID]],RIT_ACUM!A:A,1,0),"NOVO")</f>
        <v>47281</v>
      </c>
    </row>
    <row r="71" spans="1:4" hidden="1" x14ac:dyDescent="0.35">
      <c r="A71" s="1">
        <v>47280</v>
      </c>
      <c r="B71" s="2">
        <v>46309</v>
      </c>
      <c r="C71" s="1" t="s">
        <v>21</v>
      </c>
      <c r="D71" s="1">
        <f>IFERROR(VLOOKUP(RIT_FUSIONS[[#This Row],[ID]],RIT_ACUM!A:A,1,0),"NOVO")</f>
        <v>47280</v>
      </c>
    </row>
    <row r="72" spans="1:4" hidden="1" x14ac:dyDescent="0.35">
      <c r="A72" s="1">
        <v>47277</v>
      </c>
      <c r="B72" s="2">
        <v>46309</v>
      </c>
      <c r="C72" s="1" t="s">
        <v>17</v>
      </c>
      <c r="D72" s="1">
        <f>IFERROR(VLOOKUP(RIT_FUSIONS[[#This Row],[ID]],RIT_ACUM!A:A,1,0),"NOVO")</f>
        <v>47277</v>
      </c>
    </row>
    <row r="73" spans="1:4" hidden="1" x14ac:dyDescent="0.35">
      <c r="A73" s="1">
        <v>47276</v>
      </c>
      <c r="B73" s="2">
        <v>46309</v>
      </c>
      <c r="C73" s="1" t="s">
        <v>17</v>
      </c>
      <c r="D73" s="1">
        <f>IFERROR(VLOOKUP(RIT_FUSIONS[[#This Row],[ID]],RIT_ACUM!A:A,1,0),"NOVO")</f>
        <v>47276</v>
      </c>
    </row>
    <row r="74" spans="1:4" hidden="1" x14ac:dyDescent="0.35">
      <c r="A74" s="1">
        <v>47275</v>
      </c>
      <c r="B74" s="2">
        <v>46309</v>
      </c>
      <c r="C74" s="1" t="s">
        <v>17</v>
      </c>
      <c r="D74" s="1">
        <f>IFERROR(VLOOKUP(RIT_FUSIONS[[#This Row],[ID]],RIT_ACUM!A:A,1,0),"NOVO")</f>
        <v>47275</v>
      </c>
    </row>
    <row r="75" spans="1:4" hidden="1" x14ac:dyDescent="0.35">
      <c r="A75" s="1">
        <v>47274</v>
      </c>
      <c r="B75" s="2">
        <v>46309</v>
      </c>
      <c r="C75" s="1" t="s">
        <v>7</v>
      </c>
      <c r="D75" s="1">
        <f>IFERROR(VLOOKUP(RIT_FUSIONS[[#This Row],[ID]],RIT_ACUM!A:A,1,0),"NOVO")</f>
        <v>47274</v>
      </c>
    </row>
    <row r="76" spans="1:4" hidden="1" x14ac:dyDescent="0.35">
      <c r="A76" s="1">
        <v>47273</v>
      </c>
      <c r="B76" s="2">
        <v>46309</v>
      </c>
      <c r="C76" s="1" t="s">
        <v>7</v>
      </c>
      <c r="D76" s="1">
        <f>IFERROR(VLOOKUP(RIT_FUSIONS[[#This Row],[ID]],RIT_ACUM!A:A,1,0),"NOVO")</f>
        <v>47273</v>
      </c>
    </row>
    <row r="77" spans="1:4" hidden="1" x14ac:dyDescent="0.35">
      <c r="A77" s="1">
        <v>47268</v>
      </c>
      <c r="B77" s="2">
        <v>46309</v>
      </c>
      <c r="C77" s="1" t="s">
        <v>6</v>
      </c>
      <c r="D77" s="1">
        <f>IFERROR(VLOOKUP(RIT_FUSIONS[[#This Row],[ID]],RIT_ACUM!A:A,1,0),"NOVO")</f>
        <v>47268</v>
      </c>
    </row>
    <row r="78" spans="1:4" hidden="1" x14ac:dyDescent="0.35">
      <c r="A78" s="1">
        <v>47267</v>
      </c>
      <c r="B78" s="2">
        <v>46309</v>
      </c>
      <c r="C78" s="1" t="s">
        <v>6</v>
      </c>
      <c r="D78" s="1">
        <f>IFERROR(VLOOKUP(RIT_FUSIONS[[#This Row],[ID]],RIT_ACUM!A:A,1,0),"NOVO")</f>
        <v>47267</v>
      </c>
    </row>
    <row r="79" spans="1:4" hidden="1" x14ac:dyDescent="0.35">
      <c r="A79" s="1">
        <v>47266</v>
      </c>
      <c r="B79" s="2">
        <v>46309</v>
      </c>
      <c r="C79" s="1" t="s">
        <v>21</v>
      </c>
      <c r="D79" s="1">
        <f>IFERROR(VLOOKUP(RIT_FUSIONS[[#This Row],[ID]],RIT_ACUM!A:A,1,0),"NOVO")</f>
        <v>47266</v>
      </c>
    </row>
    <row r="80" spans="1:4" hidden="1" x14ac:dyDescent="0.35">
      <c r="A80" s="1">
        <v>47265</v>
      </c>
      <c r="B80" s="2">
        <v>46309</v>
      </c>
      <c r="C80" s="1" t="s">
        <v>21</v>
      </c>
      <c r="D80" s="1">
        <f>IFERROR(VLOOKUP(RIT_FUSIONS[[#This Row],[ID]],RIT_ACUM!A:A,1,0),"NOVO")</f>
        <v>47265</v>
      </c>
    </row>
    <row r="81" spans="1:4" hidden="1" x14ac:dyDescent="0.35">
      <c r="A81" s="1">
        <v>47264</v>
      </c>
      <c r="B81" s="2">
        <v>46309</v>
      </c>
      <c r="C81" s="1" t="s">
        <v>10</v>
      </c>
      <c r="D81" s="1">
        <f>IFERROR(VLOOKUP(RIT_FUSIONS[[#This Row],[ID]],RIT_ACUM!A:A,1,0),"NOVO")</f>
        <v>47264</v>
      </c>
    </row>
    <row r="82" spans="1:4" hidden="1" x14ac:dyDescent="0.35">
      <c r="A82" s="1">
        <v>47263</v>
      </c>
      <c r="B82" s="2">
        <v>46309</v>
      </c>
      <c r="C82" s="1" t="s">
        <v>10</v>
      </c>
      <c r="D82" s="1">
        <f>IFERROR(VLOOKUP(RIT_FUSIONS[[#This Row],[ID]],RIT_ACUM!A:A,1,0),"NOVO")</f>
        <v>47263</v>
      </c>
    </row>
    <row r="83" spans="1:4" hidden="1" x14ac:dyDescent="0.35">
      <c r="A83" s="1">
        <v>47262</v>
      </c>
      <c r="B83" s="2">
        <v>46309</v>
      </c>
      <c r="C83" s="1" t="s">
        <v>3</v>
      </c>
      <c r="D83" s="1">
        <f>IFERROR(VLOOKUP(RIT_FUSIONS[[#This Row],[ID]],RIT_ACUM!A:A,1,0),"NOVO")</f>
        <v>47262</v>
      </c>
    </row>
    <row r="84" spans="1:4" hidden="1" x14ac:dyDescent="0.35">
      <c r="A84" s="1">
        <v>47261</v>
      </c>
      <c r="B84" s="2">
        <v>46309</v>
      </c>
      <c r="C84" s="1" t="s">
        <v>21</v>
      </c>
      <c r="D84" s="1">
        <f>IFERROR(VLOOKUP(RIT_FUSIONS[[#This Row],[ID]],RIT_ACUM!A:A,1,0),"NOVO")</f>
        <v>47261</v>
      </c>
    </row>
    <row r="85" spans="1:4" hidden="1" x14ac:dyDescent="0.35">
      <c r="A85" s="1">
        <v>47260</v>
      </c>
      <c r="B85" s="2">
        <v>46309</v>
      </c>
      <c r="C85" s="1" t="s">
        <v>21</v>
      </c>
      <c r="D85" s="1">
        <f>IFERROR(VLOOKUP(RIT_FUSIONS[[#This Row],[ID]],RIT_ACUM!A:A,1,0),"NOVO")</f>
        <v>47260</v>
      </c>
    </row>
    <row r="86" spans="1:4" hidden="1" x14ac:dyDescent="0.35">
      <c r="A86" s="1">
        <v>47255</v>
      </c>
      <c r="B86" s="2">
        <v>46309</v>
      </c>
      <c r="C86" s="1" t="s">
        <v>3</v>
      </c>
      <c r="D86" s="1">
        <f>IFERROR(VLOOKUP(RIT_FUSIONS[[#This Row],[ID]],RIT_ACUM!A:A,1,0),"NOVO")</f>
        <v>47255</v>
      </c>
    </row>
    <row r="87" spans="1:4" hidden="1" x14ac:dyDescent="0.35">
      <c r="A87" s="1">
        <v>47254</v>
      </c>
      <c r="B87" s="2">
        <v>46309</v>
      </c>
      <c r="C87" s="1" t="s">
        <v>3</v>
      </c>
      <c r="D87" s="1">
        <f>IFERROR(VLOOKUP(RIT_FUSIONS[[#This Row],[ID]],RIT_ACUM!A:A,1,0),"NOVO")</f>
        <v>47254</v>
      </c>
    </row>
    <row r="88" spans="1:4" hidden="1" x14ac:dyDescent="0.35">
      <c r="A88" s="1">
        <v>47246</v>
      </c>
      <c r="B88" s="2">
        <v>46308</v>
      </c>
      <c r="C88" s="1" t="s">
        <v>3</v>
      </c>
      <c r="D88" s="1">
        <f>IFERROR(VLOOKUP(RIT_FUSIONS[[#This Row],[ID]],RIT_ACUM!A:A,1,0),"NOVO")</f>
        <v>47246</v>
      </c>
    </row>
    <row r="89" spans="1:4" hidden="1" x14ac:dyDescent="0.35">
      <c r="A89" s="1">
        <v>47245</v>
      </c>
      <c r="B89" s="2">
        <v>46308</v>
      </c>
      <c r="C89" s="1" t="s">
        <v>10</v>
      </c>
      <c r="D89" s="1">
        <f>IFERROR(VLOOKUP(RIT_FUSIONS[[#This Row],[ID]],RIT_ACUM!A:A,1,0),"NOVO")</f>
        <v>47245</v>
      </c>
    </row>
    <row r="90" spans="1:4" hidden="1" x14ac:dyDescent="0.35">
      <c r="A90" s="1">
        <v>47244</v>
      </c>
      <c r="B90" s="2">
        <v>46308</v>
      </c>
      <c r="C90" s="1" t="s">
        <v>10</v>
      </c>
      <c r="D90" s="1">
        <f>IFERROR(VLOOKUP(RIT_FUSIONS[[#This Row],[ID]],RIT_ACUM!A:A,1,0),"NOVO")</f>
        <v>47244</v>
      </c>
    </row>
    <row r="91" spans="1:4" hidden="1" x14ac:dyDescent="0.35">
      <c r="A91" s="1">
        <v>47232</v>
      </c>
      <c r="B91" s="2">
        <v>46308</v>
      </c>
      <c r="C91" s="1" t="s">
        <v>22</v>
      </c>
      <c r="D91" s="1">
        <f>IFERROR(VLOOKUP(RIT_FUSIONS[[#This Row],[ID]],RIT_ACUM!A:A,1,0),"NOVO")</f>
        <v>47232</v>
      </c>
    </row>
    <row r="92" spans="1:4" hidden="1" x14ac:dyDescent="0.35">
      <c r="A92" s="1">
        <v>47231</v>
      </c>
      <c r="B92" s="2">
        <v>46308</v>
      </c>
      <c r="C92" s="1" t="s">
        <v>22</v>
      </c>
      <c r="D92" s="1">
        <f>IFERROR(VLOOKUP(RIT_FUSIONS[[#This Row],[ID]],RIT_ACUM!A:A,1,0),"NOVO")</f>
        <v>47231</v>
      </c>
    </row>
    <row r="93" spans="1:4" hidden="1" x14ac:dyDescent="0.35">
      <c r="A93" s="1">
        <v>47230</v>
      </c>
      <c r="B93" s="2">
        <v>46308</v>
      </c>
      <c r="C93" s="1" t="s">
        <v>22</v>
      </c>
      <c r="D93" s="1">
        <f>IFERROR(VLOOKUP(RIT_FUSIONS[[#This Row],[ID]],RIT_ACUM!A:A,1,0),"NOVO")</f>
        <v>47230</v>
      </c>
    </row>
    <row r="94" spans="1:4" hidden="1" x14ac:dyDescent="0.35">
      <c r="A94" s="1">
        <v>47229</v>
      </c>
      <c r="B94" s="2">
        <v>46308</v>
      </c>
      <c r="C94" s="1" t="s">
        <v>24</v>
      </c>
      <c r="D94" s="1">
        <f>IFERROR(VLOOKUP(RIT_FUSIONS[[#This Row],[ID]],RIT_ACUM!A:A,1,0),"NOVO")</f>
        <v>47229</v>
      </c>
    </row>
    <row r="95" spans="1:4" hidden="1" x14ac:dyDescent="0.35">
      <c r="A95" s="1">
        <v>47228</v>
      </c>
      <c r="B95" s="2">
        <v>46308</v>
      </c>
      <c r="C95" s="1" t="s">
        <v>24</v>
      </c>
      <c r="D95" s="1">
        <f>IFERROR(VLOOKUP(RIT_FUSIONS[[#This Row],[ID]],RIT_ACUM!A:A,1,0),"NOVO")</f>
        <v>47228</v>
      </c>
    </row>
    <row r="96" spans="1:4" hidden="1" x14ac:dyDescent="0.35">
      <c r="A96" s="1">
        <v>47227</v>
      </c>
      <c r="B96" s="2">
        <v>46308</v>
      </c>
      <c r="C96" s="1" t="s">
        <v>7</v>
      </c>
      <c r="D96" s="1">
        <f>IFERROR(VLOOKUP(RIT_FUSIONS[[#This Row],[ID]],RIT_ACUM!A:A,1,0),"NOVO")</f>
        <v>47227</v>
      </c>
    </row>
    <row r="97" spans="1:4" hidden="1" x14ac:dyDescent="0.35">
      <c r="A97" s="1">
        <v>47226</v>
      </c>
      <c r="B97" s="2">
        <v>46308</v>
      </c>
      <c r="C97" s="1" t="s">
        <v>24</v>
      </c>
      <c r="D97" s="1">
        <f>IFERROR(VLOOKUP(RIT_FUSIONS[[#This Row],[ID]],RIT_ACUM!A:A,1,0),"NOVO")</f>
        <v>47226</v>
      </c>
    </row>
    <row r="98" spans="1:4" hidden="1" x14ac:dyDescent="0.35">
      <c r="A98" s="1">
        <v>47225</v>
      </c>
      <c r="B98" s="2">
        <v>46308</v>
      </c>
      <c r="C98" s="1" t="s">
        <v>24</v>
      </c>
      <c r="D98" s="1">
        <f>IFERROR(VLOOKUP(RIT_FUSIONS[[#This Row],[ID]],RIT_ACUM!A:A,1,0),"NOVO")</f>
        <v>47225</v>
      </c>
    </row>
    <row r="99" spans="1:4" hidden="1" x14ac:dyDescent="0.35">
      <c r="A99" s="1">
        <v>47220</v>
      </c>
      <c r="B99" s="2">
        <v>46308</v>
      </c>
      <c r="C99" s="1" t="s">
        <v>28</v>
      </c>
      <c r="D99" s="1">
        <f>IFERROR(VLOOKUP(RIT_FUSIONS[[#This Row],[ID]],RIT_ACUM!A:A,1,0),"NOVO")</f>
        <v>47220</v>
      </c>
    </row>
    <row r="100" spans="1:4" hidden="1" x14ac:dyDescent="0.35">
      <c r="A100" s="1">
        <v>47219</v>
      </c>
      <c r="B100" s="2">
        <v>46308</v>
      </c>
      <c r="C100" s="1" t="s">
        <v>28</v>
      </c>
      <c r="D100" s="1">
        <f>IFERROR(VLOOKUP(RIT_FUSIONS[[#This Row],[ID]],RIT_ACUM!A:A,1,0),"NOVO")</f>
        <v>47219</v>
      </c>
    </row>
    <row r="101" spans="1:4" hidden="1" x14ac:dyDescent="0.35">
      <c r="A101" s="1">
        <v>47218</v>
      </c>
      <c r="B101" s="2">
        <v>46308</v>
      </c>
      <c r="C101" s="1" t="s">
        <v>28</v>
      </c>
      <c r="D101" s="1">
        <f>IFERROR(VLOOKUP(RIT_FUSIONS[[#This Row],[ID]],RIT_ACUM!A:A,1,0),"NOVO")</f>
        <v>47218</v>
      </c>
    </row>
    <row r="102" spans="1:4" hidden="1" x14ac:dyDescent="0.35">
      <c r="A102" s="1">
        <v>47216</v>
      </c>
      <c r="B102" s="2">
        <v>46308</v>
      </c>
      <c r="C102" s="1" t="s">
        <v>28</v>
      </c>
      <c r="D102" s="1">
        <f>IFERROR(VLOOKUP(RIT_FUSIONS[[#This Row],[ID]],RIT_ACUM!A:A,1,0),"NOVO")</f>
        <v>47216</v>
      </c>
    </row>
    <row r="103" spans="1:4" hidden="1" x14ac:dyDescent="0.35">
      <c r="A103" s="1">
        <v>47215</v>
      </c>
      <c r="B103" s="2">
        <v>46308</v>
      </c>
      <c r="C103" s="1" t="s">
        <v>28</v>
      </c>
      <c r="D103" s="1">
        <f>IFERROR(VLOOKUP(RIT_FUSIONS[[#This Row],[ID]],RIT_ACUM!A:A,1,0),"NOVO")</f>
        <v>47215</v>
      </c>
    </row>
    <row r="104" spans="1:4" hidden="1" x14ac:dyDescent="0.35">
      <c r="A104" s="1">
        <v>47214</v>
      </c>
      <c r="B104" s="2">
        <v>46308</v>
      </c>
      <c r="C104" s="1" t="s">
        <v>21</v>
      </c>
      <c r="D104" s="1">
        <f>IFERROR(VLOOKUP(RIT_FUSIONS[[#This Row],[ID]],RIT_ACUM!A:A,1,0),"NOVO")</f>
        <v>47214</v>
      </c>
    </row>
    <row r="105" spans="1:4" hidden="1" x14ac:dyDescent="0.35">
      <c r="A105" s="1">
        <v>47213</v>
      </c>
      <c r="B105" s="2">
        <v>46308</v>
      </c>
      <c r="C105" s="1" t="s">
        <v>17</v>
      </c>
      <c r="D105" s="1">
        <f>IFERROR(VLOOKUP(RIT_FUSIONS[[#This Row],[ID]],RIT_ACUM!A:A,1,0),"NOVO")</f>
        <v>47213</v>
      </c>
    </row>
    <row r="106" spans="1:4" hidden="1" x14ac:dyDescent="0.35">
      <c r="A106" s="1">
        <v>47212</v>
      </c>
      <c r="B106" s="2">
        <v>46308</v>
      </c>
      <c r="C106" s="1" t="s">
        <v>17</v>
      </c>
      <c r="D106" s="1">
        <f>IFERROR(VLOOKUP(RIT_FUSIONS[[#This Row],[ID]],RIT_ACUM!A:A,1,0),"NOVO")</f>
        <v>47212</v>
      </c>
    </row>
    <row r="107" spans="1:4" hidden="1" x14ac:dyDescent="0.35">
      <c r="A107" s="1">
        <v>47211</v>
      </c>
      <c r="B107" s="2">
        <v>46308</v>
      </c>
      <c r="C107" s="1" t="s">
        <v>17</v>
      </c>
      <c r="D107" s="1">
        <f>IFERROR(VLOOKUP(RIT_FUSIONS[[#This Row],[ID]],RIT_ACUM!A:A,1,0),"NOVO")</f>
        <v>47211</v>
      </c>
    </row>
    <row r="108" spans="1:4" hidden="1" x14ac:dyDescent="0.35">
      <c r="A108" s="1">
        <v>47210</v>
      </c>
      <c r="B108" s="2">
        <v>46308</v>
      </c>
      <c r="C108" s="1" t="s">
        <v>17</v>
      </c>
      <c r="D108" s="1">
        <f>IFERROR(VLOOKUP(RIT_FUSIONS[[#This Row],[ID]],RIT_ACUM!A:A,1,0),"NOVO")</f>
        <v>47210</v>
      </c>
    </row>
    <row r="109" spans="1:4" hidden="1" x14ac:dyDescent="0.35">
      <c r="A109" s="1">
        <v>47208</v>
      </c>
      <c r="B109" s="2">
        <v>46308</v>
      </c>
      <c r="C109" s="1" t="s">
        <v>19</v>
      </c>
      <c r="D109" s="1">
        <f>IFERROR(VLOOKUP(RIT_FUSIONS[[#This Row],[ID]],RIT_ACUM!A:A,1,0),"NOVO")</f>
        <v>47208</v>
      </c>
    </row>
    <row r="110" spans="1:4" hidden="1" x14ac:dyDescent="0.35">
      <c r="A110" s="1">
        <v>47206</v>
      </c>
      <c r="B110" s="2">
        <v>46308</v>
      </c>
      <c r="C110" s="1" t="s">
        <v>9</v>
      </c>
      <c r="D110" s="1">
        <f>IFERROR(VLOOKUP(RIT_FUSIONS[[#This Row],[ID]],RIT_ACUM!A:A,1,0),"NOVO")</f>
        <v>47206</v>
      </c>
    </row>
    <row r="111" spans="1:4" hidden="1" x14ac:dyDescent="0.35">
      <c r="A111" s="1">
        <v>47203</v>
      </c>
      <c r="B111" s="2">
        <v>46308</v>
      </c>
      <c r="C111" s="1" t="s">
        <v>103</v>
      </c>
      <c r="D111" s="1">
        <f>IFERROR(VLOOKUP(RIT_FUSIONS[[#This Row],[ID]],RIT_ACUM!A:A,1,0),"NOVO")</f>
        <v>47203</v>
      </c>
    </row>
    <row r="112" spans="1:4" hidden="1" x14ac:dyDescent="0.35">
      <c r="A112" s="1">
        <v>47202</v>
      </c>
      <c r="B112" s="2">
        <v>46308</v>
      </c>
      <c r="C112" s="1" t="s">
        <v>103</v>
      </c>
      <c r="D112" s="1">
        <f>IFERROR(VLOOKUP(RIT_FUSIONS[[#This Row],[ID]],RIT_ACUM!A:A,1,0),"NOVO")</f>
        <v>47202</v>
      </c>
    </row>
    <row r="113" spans="1:4" hidden="1" x14ac:dyDescent="0.35">
      <c r="A113" s="1">
        <v>47201</v>
      </c>
      <c r="B113" s="2">
        <v>46308</v>
      </c>
      <c r="C113" s="1" t="s">
        <v>7</v>
      </c>
      <c r="D113" s="1">
        <f>IFERROR(VLOOKUP(RIT_FUSIONS[[#This Row],[ID]],RIT_ACUM!A:A,1,0),"NOVO")</f>
        <v>47201</v>
      </c>
    </row>
    <row r="114" spans="1:4" hidden="1" x14ac:dyDescent="0.35">
      <c r="A114" s="1">
        <v>47200</v>
      </c>
      <c r="B114" s="2">
        <v>46308</v>
      </c>
      <c r="C114" s="1" t="s">
        <v>21</v>
      </c>
      <c r="D114" s="1">
        <f>IFERROR(VLOOKUP(RIT_FUSIONS[[#This Row],[ID]],RIT_ACUM!A:A,1,0),"NOVO")</f>
        <v>47200</v>
      </c>
    </row>
    <row r="115" spans="1:4" hidden="1" x14ac:dyDescent="0.35">
      <c r="A115" s="1">
        <v>47199</v>
      </c>
      <c r="B115" s="2">
        <v>46308</v>
      </c>
      <c r="C115" s="1" t="s">
        <v>21</v>
      </c>
      <c r="D115" s="1">
        <f>IFERROR(VLOOKUP(RIT_FUSIONS[[#This Row],[ID]],RIT_ACUM!A:A,1,0),"NOVO")</f>
        <v>47199</v>
      </c>
    </row>
    <row r="116" spans="1:4" hidden="1" x14ac:dyDescent="0.35">
      <c r="A116" s="1">
        <v>47198</v>
      </c>
      <c r="B116" s="2">
        <v>46308</v>
      </c>
      <c r="C116" s="1" t="s">
        <v>15</v>
      </c>
      <c r="D116" s="1">
        <f>IFERROR(VLOOKUP(RIT_FUSIONS[[#This Row],[ID]],RIT_ACUM!A:A,1,0),"NOVO")</f>
        <v>47198</v>
      </c>
    </row>
    <row r="117" spans="1:4" hidden="1" x14ac:dyDescent="0.35">
      <c r="A117" s="1">
        <v>47197</v>
      </c>
      <c r="B117" s="2">
        <v>46308</v>
      </c>
      <c r="C117" s="1" t="s">
        <v>6</v>
      </c>
      <c r="D117" s="1">
        <f>IFERROR(VLOOKUP(RIT_FUSIONS[[#This Row],[ID]],RIT_ACUM!A:A,1,0),"NOVO")</f>
        <v>47197</v>
      </c>
    </row>
    <row r="118" spans="1:4" hidden="1" x14ac:dyDescent="0.35">
      <c r="A118" s="1">
        <v>47196</v>
      </c>
      <c r="B118" s="2">
        <v>46308</v>
      </c>
      <c r="C118" s="1" t="s">
        <v>6</v>
      </c>
      <c r="D118" s="1">
        <f>IFERROR(VLOOKUP(RIT_FUSIONS[[#This Row],[ID]],RIT_ACUM!A:A,1,0),"NOVO")</f>
        <v>47196</v>
      </c>
    </row>
    <row r="119" spans="1:4" hidden="1" x14ac:dyDescent="0.35">
      <c r="A119" s="1">
        <v>47194</v>
      </c>
      <c r="B119" s="2">
        <v>46308</v>
      </c>
      <c r="C119" s="1" t="s">
        <v>9</v>
      </c>
      <c r="D119" s="1">
        <f>IFERROR(VLOOKUP(RIT_FUSIONS[[#This Row],[ID]],RIT_ACUM!A:A,1,0),"NOVO")</f>
        <v>47194</v>
      </c>
    </row>
    <row r="120" spans="1:4" hidden="1" x14ac:dyDescent="0.35">
      <c r="A120" s="1">
        <v>47193</v>
      </c>
      <c r="B120" s="2">
        <v>46308</v>
      </c>
      <c r="C120" s="1" t="s">
        <v>19</v>
      </c>
      <c r="D120" s="1">
        <f>IFERROR(VLOOKUP(RIT_FUSIONS[[#This Row],[ID]],RIT_ACUM!A:A,1,0),"NOVO")</f>
        <v>47193</v>
      </c>
    </row>
    <row r="121" spans="1:4" hidden="1" x14ac:dyDescent="0.35">
      <c r="A121" s="1">
        <v>47192</v>
      </c>
      <c r="B121" s="2">
        <v>46308</v>
      </c>
      <c r="C121" s="1" t="s">
        <v>21</v>
      </c>
      <c r="D121" s="1">
        <f>IFERROR(VLOOKUP(RIT_FUSIONS[[#This Row],[ID]],RIT_ACUM!A:A,1,0),"NOVO")</f>
        <v>47192</v>
      </c>
    </row>
    <row r="122" spans="1:4" hidden="1" x14ac:dyDescent="0.35">
      <c r="A122" s="1">
        <v>47191</v>
      </c>
      <c r="B122" s="2">
        <v>46308</v>
      </c>
      <c r="C122" s="1" t="s">
        <v>19</v>
      </c>
      <c r="D122" s="1">
        <f>IFERROR(VLOOKUP(RIT_FUSIONS[[#This Row],[ID]],RIT_ACUM!A:A,1,0),"NOVO")</f>
        <v>47191</v>
      </c>
    </row>
    <row r="123" spans="1:4" hidden="1" x14ac:dyDescent="0.35">
      <c r="A123" s="1">
        <v>47190</v>
      </c>
      <c r="B123" s="2">
        <v>46308</v>
      </c>
      <c r="C123" s="1" t="s">
        <v>9</v>
      </c>
      <c r="D123" s="1">
        <f>IFERROR(VLOOKUP(RIT_FUSIONS[[#This Row],[ID]],RIT_ACUM!A:A,1,0),"NOVO")</f>
        <v>47190</v>
      </c>
    </row>
    <row r="124" spans="1:4" hidden="1" x14ac:dyDescent="0.35">
      <c r="A124" s="1">
        <v>47189</v>
      </c>
      <c r="B124" s="2">
        <v>46308</v>
      </c>
      <c r="C124" s="1" t="s">
        <v>3</v>
      </c>
      <c r="D124" s="1">
        <f>IFERROR(VLOOKUP(RIT_FUSIONS[[#This Row],[ID]],RIT_ACUM!A:A,1,0),"NOVO")</f>
        <v>47189</v>
      </c>
    </row>
    <row r="125" spans="1:4" hidden="1" x14ac:dyDescent="0.35">
      <c r="A125" s="1">
        <v>47188</v>
      </c>
      <c r="B125" s="2">
        <v>46308</v>
      </c>
      <c r="C125" s="1" t="s">
        <v>3</v>
      </c>
      <c r="D125" s="1">
        <f>IFERROR(VLOOKUP(RIT_FUSIONS[[#This Row],[ID]],RIT_ACUM!A:A,1,0),"NOVO")</f>
        <v>47188</v>
      </c>
    </row>
    <row r="126" spans="1:4" hidden="1" x14ac:dyDescent="0.35">
      <c r="A126" s="1">
        <v>47187</v>
      </c>
      <c r="B126" s="2">
        <v>46308</v>
      </c>
      <c r="C126" s="1" t="s">
        <v>21</v>
      </c>
      <c r="D126" s="1">
        <f>IFERROR(VLOOKUP(RIT_FUSIONS[[#This Row],[ID]],RIT_ACUM!A:A,1,0),"NOVO")</f>
        <v>47187</v>
      </c>
    </row>
    <row r="127" spans="1:4" hidden="1" x14ac:dyDescent="0.35">
      <c r="A127" s="1">
        <v>47170</v>
      </c>
      <c r="B127" s="2">
        <v>46307</v>
      </c>
      <c r="C127" s="1" t="s">
        <v>10</v>
      </c>
      <c r="D127" s="1">
        <f>IFERROR(VLOOKUP(RIT_FUSIONS[[#This Row],[ID]],RIT_ACUM!A:A,1,0),"NOVO")</f>
        <v>47170</v>
      </c>
    </row>
    <row r="128" spans="1:4" hidden="1" x14ac:dyDescent="0.35">
      <c r="A128" s="1">
        <v>47169</v>
      </c>
      <c r="B128" s="2">
        <v>46307</v>
      </c>
      <c r="C128" s="1" t="s">
        <v>10</v>
      </c>
      <c r="D128" s="1">
        <f>IFERROR(VLOOKUP(RIT_FUSIONS[[#This Row],[ID]],RIT_ACUM!A:A,1,0),"NOVO")</f>
        <v>47169</v>
      </c>
    </row>
    <row r="129" spans="1:4" hidden="1" x14ac:dyDescent="0.35">
      <c r="A129" s="1">
        <v>47130</v>
      </c>
      <c r="B129" s="2">
        <v>46306</v>
      </c>
      <c r="C129" s="1" t="s">
        <v>17</v>
      </c>
      <c r="D129" s="1">
        <f>IFERROR(VLOOKUP(RIT_FUSIONS[[#This Row],[ID]],RIT_ACUM!A:A,1,0),"NOVO")</f>
        <v>47130</v>
      </c>
    </row>
    <row r="130" spans="1:4" hidden="1" x14ac:dyDescent="0.35">
      <c r="A130" s="1">
        <v>47129</v>
      </c>
      <c r="B130" s="2">
        <v>46306</v>
      </c>
      <c r="C130" s="1" t="s">
        <v>17</v>
      </c>
      <c r="D130" s="1">
        <f>IFERROR(VLOOKUP(RIT_FUSIONS[[#This Row],[ID]],RIT_ACUM!A:A,1,0),"NOVO")</f>
        <v>47129</v>
      </c>
    </row>
    <row r="131" spans="1:4" hidden="1" x14ac:dyDescent="0.35">
      <c r="A131" s="1">
        <v>47128</v>
      </c>
      <c r="B131" s="2">
        <v>46306</v>
      </c>
      <c r="C131" s="1" t="s">
        <v>17</v>
      </c>
      <c r="D131" s="1">
        <f>IFERROR(VLOOKUP(RIT_FUSIONS[[#This Row],[ID]],RIT_ACUM!A:A,1,0),"NOVO")</f>
        <v>47128</v>
      </c>
    </row>
    <row r="132" spans="1:4" hidden="1" x14ac:dyDescent="0.35">
      <c r="A132" s="1">
        <v>47127</v>
      </c>
      <c r="B132" s="2">
        <v>46306</v>
      </c>
      <c r="C132" s="1" t="s">
        <v>17</v>
      </c>
      <c r="D132" s="1">
        <f>IFERROR(VLOOKUP(RIT_FUSIONS[[#This Row],[ID]],RIT_ACUM!A:A,1,0),"NOVO")</f>
        <v>47127</v>
      </c>
    </row>
    <row r="133" spans="1:4" hidden="1" x14ac:dyDescent="0.35">
      <c r="A133" s="1">
        <v>47117</v>
      </c>
      <c r="B133" s="2">
        <v>46305</v>
      </c>
      <c r="C133" s="1" t="s">
        <v>10</v>
      </c>
      <c r="D133" s="1">
        <f>IFERROR(VLOOKUP(RIT_FUSIONS[[#This Row],[ID]],RIT_ACUM!A:A,1,0),"NOVO")</f>
        <v>47117</v>
      </c>
    </row>
    <row r="134" spans="1:4" hidden="1" x14ac:dyDescent="0.35">
      <c r="A134" s="1">
        <v>47107</v>
      </c>
      <c r="B134" s="2">
        <v>46305</v>
      </c>
      <c r="C134" s="1" t="s">
        <v>10</v>
      </c>
      <c r="D134" s="1">
        <f>IFERROR(VLOOKUP(RIT_FUSIONS[[#This Row],[ID]],RIT_ACUM!A:A,1,0),"NOVO")</f>
        <v>47107</v>
      </c>
    </row>
    <row r="135" spans="1:4" hidden="1" x14ac:dyDescent="0.35">
      <c r="A135" s="1">
        <v>47106</v>
      </c>
      <c r="B135" s="2">
        <v>46304</v>
      </c>
      <c r="C135" s="1" t="s">
        <v>10</v>
      </c>
      <c r="D135" s="1">
        <f>IFERROR(VLOOKUP(RIT_FUSIONS[[#This Row],[ID]],RIT_ACUM!A:A,1,0),"NOVO")</f>
        <v>47106</v>
      </c>
    </row>
    <row r="136" spans="1:4" hidden="1" x14ac:dyDescent="0.35">
      <c r="A136" s="1">
        <v>47105</v>
      </c>
      <c r="B136" s="2">
        <v>46304</v>
      </c>
      <c r="C136" s="1" t="s">
        <v>10</v>
      </c>
      <c r="D136" s="1">
        <f>IFERROR(VLOOKUP(RIT_FUSIONS[[#This Row],[ID]],RIT_ACUM!A:A,1,0),"NOVO")</f>
        <v>47105</v>
      </c>
    </row>
    <row r="137" spans="1:4" hidden="1" x14ac:dyDescent="0.35">
      <c r="A137" s="1">
        <v>47100</v>
      </c>
      <c r="B137" s="2">
        <v>46304</v>
      </c>
      <c r="C137" s="1" t="s">
        <v>24</v>
      </c>
      <c r="D137" s="1">
        <f>IFERROR(VLOOKUP(RIT_FUSIONS[[#This Row],[ID]],RIT_ACUM!A:A,1,0),"NOVO")</f>
        <v>47100</v>
      </c>
    </row>
    <row r="138" spans="1:4" hidden="1" x14ac:dyDescent="0.35">
      <c r="A138" s="1">
        <v>47099</v>
      </c>
      <c r="B138" s="2">
        <v>46304</v>
      </c>
      <c r="C138" s="1" t="s">
        <v>24</v>
      </c>
      <c r="D138" s="1">
        <f>IFERROR(VLOOKUP(RIT_FUSIONS[[#This Row],[ID]],RIT_ACUM!A:A,1,0),"NOVO")</f>
        <v>47099</v>
      </c>
    </row>
    <row r="139" spans="1:4" hidden="1" x14ac:dyDescent="0.35">
      <c r="A139" s="1">
        <v>47098</v>
      </c>
      <c r="B139" s="2">
        <v>46304</v>
      </c>
      <c r="C139" s="1" t="s">
        <v>24</v>
      </c>
      <c r="D139" s="1">
        <f>IFERROR(VLOOKUP(RIT_FUSIONS[[#This Row],[ID]],RIT_ACUM!A:A,1,0),"NOVO")</f>
        <v>47098</v>
      </c>
    </row>
    <row r="140" spans="1:4" hidden="1" x14ac:dyDescent="0.35">
      <c r="A140" s="1">
        <v>47097</v>
      </c>
      <c r="B140" s="2">
        <v>46304</v>
      </c>
      <c r="C140" s="1" t="s">
        <v>28</v>
      </c>
      <c r="D140" s="1">
        <f>IFERROR(VLOOKUP(RIT_FUSIONS[[#This Row],[ID]],RIT_ACUM!A:A,1,0),"NOVO")</f>
        <v>47097</v>
      </c>
    </row>
    <row r="141" spans="1:4" hidden="1" x14ac:dyDescent="0.35">
      <c r="A141" s="1">
        <v>47095</v>
      </c>
      <c r="B141" s="2">
        <v>46304</v>
      </c>
      <c r="C141" s="1" t="s">
        <v>3</v>
      </c>
      <c r="D141" s="1">
        <f>IFERROR(VLOOKUP(RIT_FUSIONS[[#This Row],[ID]],RIT_ACUM!A:A,1,0),"NOVO")</f>
        <v>47095</v>
      </c>
    </row>
    <row r="142" spans="1:4" hidden="1" x14ac:dyDescent="0.35">
      <c r="A142" s="1">
        <v>47094</v>
      </c>
      <c r="B142" s="2">
        <v>46304</v>
      </c>
      <c r="C142" s="1" t="s">
        <v>21</v>
      </c>
      <c r="D142" s="1">
        <f>IFERROR(VLOOKUP(RIT_FUSIONS[[#This Row],[ID]],RIT_ACUM!A:A,1,0),"NOVO")</f>
        <v>47094</v>
      </c>
    </row>
    <row r="143" spans="1:4" hidden="1" x14ac:dyDescent="0.35">
      <c r="A143" s="1">
        <v>47092</v>
      </c>
      <c r="B143" s="2">
        <v>46304</v>
      </c>
      <c r="C143" s="1" t="s">
        <v>7</v>
      </c>
      <c r="D143" s="1">
        <f>IFERROR(VLOOKUP(RIT_FUSIONS[[#This Row],[ID]],RIT_ACUM!A:A,1,0),"NOVO")</f>
        <v>47092</v>
      </c>
    </row>
    <row r="144" spans="1:4" hidden="1" x14ac:dyDescent="0.35">
      <c r="A144" s="1">
        <v>47091</v>
      </c>
      <c r="B144" s="2">
        <v>46304</v>
      </c>
      <c r="C144" s="1" t="s">
        <v>7</v>
      </c>
      <c r="D144" s="1">
        <f>IFERROR(VLOOKUP(RIT_FUSIONS[[#This Row],[ID]],RIT_ACUM!A:A,1,0),"NOVO")</f>
        <v>47091</v>
      </c>
    </row>
    <row r="145" spans="1:4" hidden="1" x14ac:dyDescent="0.35">
      <c r="A145" s="1">
        <v>47090</v>
      </c>
      <c r="B145" s="2">
        <v>46304</v>
      </c>
      <c r="C145" s="1" t="s">
        <v>28</v>
      </c>
      <c r="D145" s="1">
        <f>IFERROR(VLOOKUP(RIT_FUSIONS[[#This Row],[ID]],RIT_ACUM!A:A,1,0),"NOVO")</f>
        <v>47090</v>
      </c>
    </row>
    <row r="146" spans="1:4" hidden="1" x14ac:dyDescent="0.35">
      <c r="A146" s="1">
        <v>47089</v>
      </c>
      <c r="B146" s="2">
        <v>46304</v>
      </c>
      <c r="C146" s="1" t="s">
        <v>9</v>
      </c>
      <c r="D146" s="1">
        <f>IFERROR(VLOOKUP(RIT_FUSIONS[[#This Row],[ID]],RIT_ACUM!A:A,1,0),"NOVO")</f>
        <v>47089</v>
      </c>
    </row>
    <row r="147" spans="1:4" hidden="1" x14ac:dyDescent="0.35">
      <c r="A147" s="1">
        <v>47088</v>
      </c>
      <c r="B147" s="2">
        <v>46304</v>
      </c>
      <c r="C147" s="1" t="s">
        <v>9</v>
      </c>
      <c r="D147" s="1">
        <f>IFERROR(VLOOKUP(RIT_FUSIONS[[#This Row],[ID]],RIT_ACUM!A:A,1,0),"NOVO")</f>
        <v>47088</v>
      </c>
    </row>
    <row r="148" spans="1:4" hidden="1" x14ac:dyDescent="0.35">
      <c r="A148" s="1">
        <v>47087</v>
      </c>
      <c r="B148" s="2">
        <v>46304</v>
      </c>
      <c r="C148" s="1" t="s">
        <v>19</v>
      </c>
      <c r="D148" s="1">
        <f>IFERROR(VLOOKUP(RIT_FUSIONS[[#This Row],[ID]],RIT_ACUM!A:A,1,0),"NOVO")</f>
        <v>47087</v>
      </c>
    </row>
    <row r="149" spans="1:4" hidden="1" x14ac:dyDescent="0.35">
      <c r="A149" s="1">
        <v>47082</v>
      </c>
      <c r="B149" s="2">
        <v>46304</v>
      </c>
      <c r="C149" s="1" t="s">
        <v>28</v>
      </c>
      <c r="D149" s="1">
        <f>IFERROR(VLOOKUP(RIT_FUSIONS[[#This Row],[ID]],RIT_ACUM!A:A,1,0),"NOVO")</f>
        <v>47082</v>
      </c>
    </row>
    <row r="150" spans="1:4" hidden="1" x14ac:dyDescent="0.35">
      <c r="A150" s="1">
        <v>47078</v>
      </c>
      <c r="B150" s="2">
        <v>46304</v>
      </c>
      <c r="C150" s="1" t="s">
        <v>28</v>
      </c>
      <c r="D150" s="1">
        <f>IFERROR(VLOOKUP(RIT_FUSIONS[[#This Row],[ID]],RIT_ACUM!A:A,1,0),"NOVO")</f>
        <v>47078</v>
      </c>
    </row>
    <row r="151" spans="1:4" hidden="1" x14ac:dyDescent="0.35">
      <c r="A151" s="1">
        <v>47076</v>
      </c>
      <c r="B151" s="2">
        <v>46304</v>
      </c>
      <c r="C151" s="1" t="s">
        <v>24</v>
      </c>
      <c r="D151" s="1">
        <f>IFERROR(VLOOKUP(RIT_FUSIONS[[#This Row],[ID]],RIT_ACUM!A:A,1,0),"NOVO")</f>
        <v>47076</v>
      </c>
    </row>
    <row r="152" spans="1:4" hidden="1" x14ac:dyDescent="0.35">
      <c r="A152" s="1">
        <v>47075</v>
      </c>
      <c r="B152" s="2">
        <v>46304</v>
      </c>
      <c r="C152" s="1" t="s">
        <v>24</v>
      </c>
      <c r="D152" s="1">
        <f>IFERROR(VLOOKUP(RIT_FUSIONS[[#This Row],[ID]],RIT_ACUM!A:A,1,0),"NOVO")</f>
        <v>47075</v>
      </c>
    </row>
    <row r="153" spans="1:4" hidden="1" x14ac:dyDescent="0.35">
      <c r="A153" s="1">
        <v>47074</v>
      </c>
      <c r="B153" s="2">
        <v>46304</v>
      </c>
      <c r="C153" s="1" t="s">
        <v>24</v>
      </c>
      <c r="D153" s="1">
        <f>IFERROR(VLOOKUP(RIT_FUSIONS[[#This Row],[ID]],RIT_ACUM!A:A,1,0),"NOVO")</f>
        <v>47074</v>
      </c>
    </row>
    <row r="154" spans="1:4" hidden="1" x14ac:dyDescent="0.35">
      <c r="A154" s="1">
        <v>47073</v>
      </c>
      <c r="B154" s="2">
        <v>46304</v>
      </c>
      <c r="C154" s="1" t="s">
        <v>24</v>
      </c>
      <c r="D154" s="1">
        <f>IFERROR(VLOOKUP(RIT_FUSIONS[[#This Row],[ID]],RIT_ACUM!A:A,1,0),"NOVO")</f>
        <v>47073</v>
      </c>
    </row>
    <row r="155" spans="1:4" hidden="1" x14ac:dyDescent="0.35">
      <c r="A155" s="1">
        <v>47071</v>
      </c>
      <c r="B155" s="2">
        <v>46304</v>
      </c>
      <c r="C155" s="1" t="s">
        <v>21</v>
      </c>
      <c r="D155" s="1">
        <f>IFERROR(VLOOKUP(RIT_FUSIONS[[#This Row],[ID]],RIT_ACUM!A:A,1,0),"NOVO")</f>
        <v>47071</v>
      </c>
    </row>
    <row r="156" spans="1:4" hidden="1" x14ac:dyDescent="0.35">
      <c r="A156" s="1">
        <v>47070</v>
      </c>
      <c r="B156" s="2">
        <v>46304</v>
      </c>
      <c r="C156" s="1" t="s">
        <v>19</v>
      </c>
      <c r="D156" s="1">
        <f>IFERROR(VLOOKUP(RIT_FUSIONS[[#This Row],[ID]],RIT_ACUM!A:A,1,0),"NOVO")</f>
        <v>47070</v>
      </c>
    </row>
    <row r="157" spans="1:4" hidden="1" x14ac:dyDescent="0.35">
      <c r="A157" s="1">
        <v>47051</v>
      </c>
      <c r="B157" s="2">
        <v>46304</v>
      </c>
      <c r="C157" s="1" t="s">
        <v>19</v>
      </c>
      <c r="D157" s="1">
        <f>IFERROR(VLOOKUP(RIT_FUSIONS[[#This Row],[ID]],RIT_ACUM!A:A,1,0),"NOVO")</f>
        <v>47051</v>
      </c>
    </row>
    <row r="158" spans="1:4" hidden="1" x14ac:dyDescent="0.35">
      <c r="A158" s="1">
        <v>47049</v>
      </c>
      <c r="B158" s="2">
        <v>46304</v>
      </c>
      <c r="C158" s="1" t="s">
        <v>21</v>
      </c>
      <c r="D158" s="1">
        <f>IFERROR(VLOOKUP(RIT_FUSIONS[[#This Row],[ID]],RIT_ACUM!A:A,1,0),"NOVO")</f>
        <v>47049</v>
      </c>
    </row>
    <row r="159" spans="1:4" hidden="1" x14ac:dyDescent="0.35">
      <c r="A159" s="1">
        <v>47047</v>
      </c>
      <c r="B159" s="2">
        <v>46304</v>
      </c>
      <c r="C159" s="1" t="s">
        <v>3</v>
      </c>
      <c r="D159" s="1">
        <f>IFERROR(VLOOKUP(RIT_FUSIONS[[#This Row],[ID]],RIT_ACUM!A:A,1,0),"NOVO")</f>
        <v>47047</v>
      </c>
    </row>
    <row r="160" spans="1:4" hidden="1" x14ac:dyDescent="0.35">
      <c r="A160" s="1">
        <v>47044</v>
      </c>
      <c r="B160" s="2">
        <v>46304</v>
      </c>
      <c r="C160" s="1" t="s">
        <v>19</v>
      </c>
      <c r="D160" s="1">
        <f>IFERROR(VLOOKUP(RIT_FUSIONS[[#This Row],[ID]],RIT_ACUM!A:A,1,0),"NOVO")</f>
        <v>47044</v>
      </c>
    </row>
    <row r="161" spans="1:4" hidden="1" x14ac:dyDescent="0.35">
      <c r="A161" s="1">
        <v>47039</v>
      </c>
      <c r="B161" s="2">
        <v>46304</v>
      </c>
      <c r="C161" s="1" t="s">
        <v>21</v>
      </c>
      <c r="D161" s="1">
        <f>IFERROR(VLOOKUP(RIT_FUSIONS[[#This Row],[ID]],RIT_ACUM!A:A,1,0),"NOVO")</f>
        <v>47039</v>
      </c>
    </row>
    <row r="162" spans="1:4" hidden="1" x14ac:dyDescent="0.35">
      <c r="A162" s="1">
        <v>47038</v>
      </c>
      <c r="B162" s="2">
        <v>46304</v>
      </c>
      <c r="C162" s="1" t="s">
        <v>19</v>
      </c>
      <c r="D162" s="1">
        <f>IFERROR(VLOOKUP(RIT_FUSIONS[[#This Row],[ID]],RIT_ACUM!A:A,1,0),"NOVO")</f>
        <v>47038</v>
      </c>
    </row>
    <row r="163" spans="1:4" hidden="1" x14ac:dyDescent="0.35">
      <c r="A163" s="1">
        <v>47036</v>
      </c>
      <c r="B163" s="2">
        <v>46304</v>
      </c>
      <c r="C163" s="1" t="s">
        <v>9</v>
      </c>
      <c r="D163" s="1">
        <f>IFERROR(VLOOKUP(RIT_FUSIONS[[#This Row],[ID]],RIT_ACUM!A:A,1,0),"NOVO")</f>
        <v>47036</v>
      </c>
    </row>
    <row r="164" spans="1:4" hidden="1" x14ac:dyDescent="0.35">
      <c r="A164" s="1">
        <v>47033</v>
      </c>
      <c r="B164" s="2">
        <v>46303</v>
      </c>
      <c r="C164" s="1" t="s">
        <v>10</v>
      </c>
      <c r="D164" s="1">
        <f>IFERROR(VLOOKUP(RIT_FUSIONS[[#This Row],[ID]],RIT_ACUM!A:A,1,0),"NOVO")</f>
        <v>47033</v>
      </c>
    </row>
    <row r="165" spans="1:4" hidden="1" x14ac:dyDescent="0.35">
      <c r="A165" s="1">
        <v>47032</v>
      </c>
      <c r="B165" s="2">
        <v>46303</v>
      </c>
      <c r="C165" s="1" t="s">
        <v>10</v>
      </c>
      <c r="D165" s="1">
        <f>IFERROR(VLOOKUP(RIT_FUSIONS[[#This Row],[ID]],RIT_ACUM!A:A,1,0),"NOVO")</f>
        <v>47032</v>
      </c>
    </row>
    <row r="166" spans="1:4" hidden="1" x14ac:dyDescent="0.35">
      <c r="A166" s="1">
        <v>47018</v>
      </c>
      <c r="B166" s="2">
        <v>46303</v>
      </c>
      <c r="C166" s="1" t="s">
        <v>21</v>
      </c>
      <c r="D166" s="1">
        <f>IFERROR(VLOOKUP(RIT_FUSIONS[[#This Row],[ID]],RIT_ACUM!A:A,1,0),"NOVO")</f>
        <v>47018</v>
      </c>
    </row>
    <row r="167" spans="1:4" hidden="1" x14ac:dyDescent="0.35">
      <c r="A167" s="1">
        <v>47017</v>
      </c>
      <c r="B167" s="2">
        <v>46303</v>
      </c>
      <c r="C167" s="1" t="s">
        <v>21</v>
      </c>
      <c r="D167" s="1">
        <f>IFERROR(VLOOKUP(RIT_FUSIONS[[#This Row],[ID]],RIT_ACUM!A:A,1,0),"NOVO")</f>
        <v>47017</v>
      </c>
    </row>
    <row r="168" spans="1:4" hidden="1" x14ac:dyDescent="0.35">
      <c r="A168" s="1">
        <v>47016</v>
      </c>
      <c r="B168" s="2">
        <v>46303</v>
      </c>
      <c r="C168" s="1" t="s">
        <v>3</v>
      </c>
      <c r="D168" s="1">
        <f>IFERROR(VLOOKUP(RIT_FUSIONS[[#This Row],[ID]],RIT_ACUM!A:A,1,0),"NOVO")</f>
        <v>47016</v>
      </c>
    </row>
    <row r="169" spans="1:4" hidden="1" x14ac:dyDescent="0.35">
      <c r="A169" s="1">
        <v>47015</v>
      </c>
      <c r="B169" s="2">
        <v>46303</v>
      </c>
      <c r="C169" s="1" t="s">
        <v>3</v>
      </c>
      <c r="D169" s="1">
        <f>IFERROR(VLOOKUP(RIT_FUSIONS[[#This Row],[ID]],RIT_ACUM!A:A,1,0),"NOVO")</f>
        <v>47015</v>
      </c>
    </row>
    <row r="170" spans="1:4" hidden="1" x14ac:dyDescent="0.35">
      <c r="A170" s="1">
        <v>47009</v>
      </c>
      <c r="B170" s="2">
        <v>46303</v>
      </c>
      <c r="C170" s="1" t="s">
        <v>22</v>
      </c>
      <c r="D170" s="1">
        <f>IFERROR(VLOOKUP(RIT_FUSIONS[[#This Row],[ID]],RIT_ACUM!A:A,1,0),"NOVO")</f>
        <v>47009</v>
      </c>
    </row>
    <row r="171" spans="1:4" hidden="1" x14ac:dyDescent="0.35">
      <c r="A171" s="1">
        <v>47008</v>
      </c>
      <c r="B171" s="2">
        <v>46303</v>
      </c>
      <c r="C171" s="1" t="s">
        <v>22</v>
      </c>
      <c r="D171" s="1">
        <f>IFERROR(VLOOKUP(RIT_FUSIONS[[#This Row],[ID]],RIT_ACUM!A:A,1,0),"NOVO")</f>
        <v>47008</v>
      </c>
    </row>
    <row r="172" spans="1:4" hidden="1" x14ac:dyDescent="0.35">
      <c r="A172" s="1">
        <v>47007</v>
      </c>
      <c r="B172" s="2">
        <v>46303</v>
      </c>
      <c r="C172" s="1" t="s">
        <v>22</v>
      </c>
      <c r="D172" s="1">
        <f>IFERROR(VLOOKUP(RIT_FUSIONS[[#This Row],[ID]],RIT_ACUM!A:A,1,0),"NOVO")</f>
        <v>47007</v>
      </c>
    </row>
    <row r="173" spans="1:4" hidden="1" x14ac:dyDescent="0.35">
      <c r="A173" s="1">
        <v>47006</v>
      </c>
      <c r="B173" s="2">
        <v>46303</v>
      </c>
      <c r="C173" s="1" t="s">
        <v>22</v>
      </c>
      <c r="D173" s="1">
        <f>IFERROR(VLOOKUP(RIT_FUSIONS[[#This Row],[ID]],RIT_ACUM!A:A,1,0),"NOVO")</f>
        <v>47006</v>
      </c>
    </row>
    <row r="174" spans="1:4" hidden="1" x14ac:dyDescent="0.35">
      <c r="A174" s="1">
        <v>47005</v>
      </c>
      <c r="B174" s="2">
        <v>46303</v>
      </c>
      <c r="C174" s="1" t="s">
        <v>22</v>
      </c>
      <c r="D174" s="1">
        <f>IFERROR(VLOOKUP(RIT_FUSIONS[[#This Row],[ID]],RIT_ACUM!A:A,1,0),"NOVO")</f>
        <v>47005</v>
      </c>
    </row>
    <row r="175" spans="1:4" hidden="1" x14ac:dyDescent="0.35">
      <c r="A175" s="1">
        <v>47004</v>
      </c>
      <c r="B175" s="2">
        <v>46303</v>
      </c>
      <c r="C175" s="1" t="s">
        <v>22</v>
      </c>
      <c r="D175" s="1">
        <f>IFERROR(VLOOKUP(RIT_FUSIONS[[#This Row],[ID]],RIT_ACUM!A:A,1,0),"NOVO")</f>
        <v>47004</v>
      </c>
    </row>
    <row r="176" spans="1:4" hidden="1" x14ac:dyDescent="0.35">
      <c r="A176" s="1">
        <v>47003</v>
      </c>
      <c r="B176" s="2">
        <v>46303</v>
      </c>
      <c r="C176" s="1" t="s">
        <v>22</v>
      </c>
      <c r="D176" s="1">
        <f>IFERROR(VLOOKUP(RIT_FUSIONS[[#This Row],[ID]],RIT_ACUM!A:A,1,0),"NOVO")</f>
        <v>47003</v>
      </c>
    </row>
    <row r="177" spans="1:4" hidden="1" x14ac:dyDescent="0.35">
      <c r="A177" s="1">
        <v>47002</v>
      </c>
      <c r="B177" s="2">
        <v>46303</v>
      </c>
      <c r="C177" s="1" t="s">
        <v>22</v>
      </c>
      <c r="D177" s="1">
        <f>IFERROR(VLOOKUP(RIT_FUSIONS[[#This Row],[ID]],RIT_ACUM!A:A,1,0),"NOVO")</f>
        <v>47002</v>
      </c>
    </row>
    <row r="178" spans="1:4" hidden="1" x14ac:dyDescent="0.35">
      <c r="A178" s="1">
        <v>47001</v>
      </c>
      <c r="B178" s="2">
        <v>46303</v>
      </c>
      <c r="C178" s="1" t="s">
        <v>22</v>
      </c>
      <c r="D178" s="1">
        <f>IFERROR(VLOOKUP(RIT_FUSIONS[[#This Row],[ID]],RIT_ACUM!A:A,1,0),"NOVO")</f>
        <v>47001</v>
      </c>
    </row>
    <row r="179" spans="1:4" hidden="1" x14ac:dyDescent="0.35">
      <c r="A179" s="1">
        <v>47000</v>
      </c>
      <c r="B179" s="2">
        <v>46303</v>
      </c>
      <c r="C179" s="1" t="s">
        <v>22</v>
      </c>
      <c r="D179" s="1">
        <f>IFERROR(VLOOKUP(RIT_FUSIONS[[#This Row],[ID]],RIT_ACUM!A:A,1,0),"NOVO")</f>
        <v>47000</v>
      </c>
    </row>
    <row r="180" spans="1:4" hidden="1" x14ac:dyDescent="0.35">
      <c r="A180" s="1">
        <v>46992</v>
      </c>
      <c r="B180" s="2">
        <v>46303</v>
      </c>
      <c r="C180" s="1" t="s">
        <v>19</v>
      </c>
      <c r="D180" s="1">
        <f>IFERROR(VLOOKUP(RIT_FUSIONS[[#This Row],[ID]],RIT_ACUM!A:A,1,0),"NOVO")</f>
        <v>46992</v>
      </c>
    </row>
    <row r="181" spans="1:4" hidden="1" x14ac:dyDescent="0.35">
      <c r="A181" s="1">
        <v>46991</v>
      </c>
      <c r="B181" s="2">
        <v>46303</v>
      </c>
      <c r="C181" s="1" t="s">
        <v>9</v>
      </c>
      <c r="D181" s="1">
        <f>IFERROR(VLOOKUP(RIT_FUSIONS[[#This Row],[ID]],RIT_ACUM!A:A,1,0),"NOVO")</f>
        <v>46991</v>
      </c>
    </row>
    <row r="182" spans="1:4" hidden="1" x14ac:dyDescent="0.35">
      <c r="A182" s="1">
        <v>46989</v>
      </c>
      <c r="B182" s="2">
        <v>46303</v>
      </c>
      <c r="C182" s="1" t="s">
        <v>7</v>
      </c>
      <c r="D182" s="1">
        <f>IFERROR(VLOOKUP(RIT_FUSIONS[[#This Row],[ID]],RIT_ACUM!A:A,1,0),"NOVO")</f>
        <v>46989</v>
      </c>
    </row>
    <row r="183" spans="1:4" hidden="1" x14ac:dyDescent="0.35">
      <c r="A183" s="1">
        <v>46987</v>
      </c>
      <c r="B183" s="2">
        <v>46303</v>
      </c>
      <c r="C183" s="1" t="s">
        <v>21</v>
      </c>
      <c r="D183" s="1">
        <f>IFERROR(VLOOKUP(RIT_FUSIONS[[#This Row],[ID]],RIT_ACUM!A:A,1,0),"NOVO")</f>
        <v>46987</v>
      </c>
    </row>
    <row r="184" spans="1:4" hidden="1" x14ac:dyDescent="0.35">
      <c r="A184" s="1">
        <v>46985</v>
      </c>
      <c r="B184" s="2">
        <v>46303</v>
      </c>
      <c r="C184" s="1" t="s">
        <v>19</v>
      </c>
      <c r="D184" s="1">
        <f>IFERROR(VLOOKUP(RIT_FUSIONS[[#This Row],[ID]],RIT_ACUM!A:A,1,0),"NOVO")</f>
        <v>46985</v>
      </c>
    </row>
    <row r="185" spans="1:4" hidden="1" x14ac:dyDescent="0.35">
      <c r="A185" s="1">
        <v>46980</v>
      </c>
      <c r="B185" s="2">
        <v>46303</v>
      </c>
      <c r="C185" s="1" t="s">
        <v>9</v>
      </c>
      <c r="D185" s="1">
        <f>IFERROR(VLOOKUP(RIT_FUSIONS[[#This Row],[ID]],RIT_ACUM!A:A,1,0),"NOVO")</f>
        <v>46980</v>
      </c>
    </row>
    <row r="186" spans="1:4" hidden="1" x14ac:dyDescent="0.35">
      <c r="A186" s="1">
        <v>46979</v>
      </c>
      <c r="B186" s="2">
        <v>46303</v>
      </c>
      <c r="C186" s="1" t="s">
        <v>21</v>
      </c>
      <c r="D186" s="1">
        <f>IFERROR(VLOOKUP(RIT_FUSIONS[[#This Row],[ID]],RIT_ACUM!A:A,1,0),"NOVO")</f>
        <v>46979</v>
      </c>
    </row>
    <row r="187" spans="1:4" hidden="1" x14ac:dyDescent="0.35">
      <c r="A187" s="1">
        <v>46978</v>
      </c>
      <c r="B187" s="2">
        <v>46303</v>
      </c>
      <c r="C187" s="1" t="s">
        <v>28</v>
      </c>
      <c r="D187" s="1">
        <f>IFERROR(VLOOKUP(RIT_FUSIONS[[#This Row],[ID]],RIT_ACUM!A:A,1,0),"NOVO")</f>
        <v>46978</v>
      </c>
    </row>
    <row r="188" spans="1:4" hidden="1" x14ac:dyDescent="0.35">
      <c r="A188" s="1">
        <v>46977</v>
      </c>
      <c r="B188" s="2">
        <v>46303</v>
      </c>
      <c r="C188" s="1" t="s">
        <v>28</v>
      </c>
      <c r="D188" s="1">
        <f>IFERROR(VLOOKUP(RIT_FUSIONS[[#This Row],[ID]],RIT_ACUM!A:A,1,0),"NOVO")</f>
        <v>46977</v>
      </c>
    </row>
    <row r="189" spans="1:4" hidden="1" x14ac:dyDescent="0.35">
      <c r="A189" s="1">
        <v>46976</v>
      </c>
      <c r="B189" s="2">
        <v>46303</v>
      </c>
      <c r="C189" s="1" t="s">
        <v>28</v>
      </c>
      <c r="D189" s="1">
        <f>IFERROR(VLOOKUP(RIT_FUSIONS[[#This Row],[ID]],RIT_ACUM!A:A,1,0),"NOVO")</f>
        <v>46976</v>
      </c>
    </row>
    <row r="190" spans="1:4" hidden="1" x14ac:dyDescent="0.35">
      <c r="A190" s="1">
        <v>46975</v>
      </c>
      <c r="B190" s="2">
        <v>46303</v>
      </c>
      <c r="C190" s="1" t="s">
        <v>28</v>
      </c>
      <c r="D190" s="1">
        <f>IFERROR(VLOOKUP(RIT_FUSIONS[[#This Row],[ID]],RIT_ACUM!A:A,1,0),"NOVO")</f>
        <v>46975</v>
      </c>
    </row>
    <row r="191" spans="1:4" hidden="1" x14ac:dyDescent="0.35">
      <c r="A191" s="1">
        <v>46974</v>
      </c>
      <c r="B191" s="2">
        <v>46303</v>
      </c>
      <c r="C191" s="1" t="s">
        <v>28</v>
      </c>
      <c r="D191" s="1">
        <f>IFERROR(VLOOKUP(RIT_FUSIONS[[#This Row],[ID]],RIT_ACUM!A:A,1,0),"NOVO")</f>
        <v>46974</v>
      </c>
    </row>
    <row r="192" spans="1:4" hidden="1" x14ac:dyDescent="0.35">
      <c r="A192" s="1">
        <v>46973</v>
      </c>
      <c r="B192" s="2">
        <v>46303</v>
      </c>
      <c r="C192" s="1" t="s">
        <v>28</v>
      </c>
      <c r="D192" s="1">
        <f>IFERROR(VLOOKUP(RIT_FUSIONS[[#This Row],[ID]],RIT_ACUM!A:A,1,0),"NOVO")</f>
        <v>46973</v>
      </c>
    </row>
    <row r="193" spans="1:4" hidden="1" x14ac:dyDescent="0.35">
      <c r="A193" s="1">
        <v>46972</v>
      </c>
      <c r="B193" s="2">
        <v>46303</v>
      </c>
      <c r="C193" s="1" t="s">
        <v>21</v>
      </c>
      <c r="D193" s="1">
        <f>IFERROR(VLOOKUP(RIT_FUSIONS[[#This Row],[ID]],RIT_ACUM!A:A,1,0),"NOVO")</f>
        <v>46972</v>
      </c>
    </row>
    <row r="194" spans="1:4" hidden="1" x14ac:dyDescent="0.35">
      <c r="A194" s="1">
        <v>46971</v>
      </c>
      <c r="B194" s="2">
        <v>46303</v>
      </c>
      <c r="C194" s="1" t="s">
        <v>21</v>
      </c>
      <c r="D194" s="1">
        <f>IFERROR(VLOOKUP(RIT_FUSIONS[[#This Row],[ID]],RIT_ACUM!A:A,1,0),"NOVO")</f>
        <v>46971</v>
      </c>
    </row>
    <row r="195" spans="1:4" hidden="1" x14ac:dyDescent="0.35">
      <c r="A195" s="1">
        <v>46970</v>
      </c>
      <c r="B195" s="2">
        <v>46303</v>
      </c>
      <c r="C195" s="1" t="s">
        <v>21</v>
      </c>
      <c r="D195" s="1">
        <f>IFERROR(VLOOKUP(RIT_FUSIONS[[#This Row],[ID]],RIT_ACUM!A:A,1,0),"NOVO")</f>
        <v>46970</v>
      </c>
    </row>
    <row r="196" spans="1:4" hidden="1" x14ac:dyDescent="0.35">
      <c r="A196" s="1">
        <v>46969</v>
      </c>
      <c r="B196" s="2">
        <v>46303</v>
      </c>
      <c r="C196" s="1" t="s">
        <v>21</v>
      </c>
      <c r="D196" s="1">
        <f>IFERROR(VLOOKUP(RIT_FUSIONS[[#This Row],[ID]],RIT_ACUM!A:A,1,0),"NOVO")</f>
        <v>46969</v>
      </c>
    </row>
    <row r="197" spans="1:4" hidden="1" x14ac:dyDescent="0.35">
      <c r="A197" s="1">
        <v>46968</v>
      </c>
      <c r="B197" s="2">
        <v>46303</v>
      </c>
      <c r="C197" s="1" t="s">
        <v>24</v>
      </c>
      <c r="D197" s="1">
        <f>IFERROR(VLOOKUP(RIT_FUSIONS[[#This Row],[ID]],RIT_ACUM!A:A,1,0),"NOVO")</f>
        <v>46968</v>
      </c>
    </row>
    <row r="198" spans="1:4" hidden="1" x14ac:dyDescent="0.35">
      <c r="A198" s="1">
        <v>46967</v>
      </c>
      <c r="B198" s="2">
        <v>46303</v>
      </c>
      <c r="C198" s="1" t="s">
        <v>24</v>
      </c>
      <c r="D198" s="1">
        <f>IFERROR(VLOOKUP(RIT_FUSIONS[[#This Row],[ID]],RIT_ACUM!A:A,1,0),"NOVO")</f>
        <v>46967</v>
      </c>
    </row>
    <row r="199" spans="1:4" hidden="1" x14ac:dyDescent="0.35">
      <c r="A199" s="1">
        <v>46966</v>
      </c>
      <c r="B199" s="2">
        <v>46303</v>
      </c>
      <c r="C199" s="1" t="s">
        <v>24</v>
      </c>
      <c r="D199" s="1">
        <f>IFERROR(VLOOKUP(RIT_FUSIONS[[#This Row],[ID]],RIT_ACUM!A:A,1,0),"NOVO")</f>
        <v>46966</v>
      </c>
    </row>
    <row r="200" spans="1:4" hidden="1" x14ac:dyDescent="0.35">
      <c r="A200" s="1">
        <v>46965</v>
      </c>
      <c r="B200" s="2">
        <v>46303</v>
      </c>
      <c r="C200" s="1" t="s">
        <v>24</v>
      </c>
      <c r="D200" s="1">
        <f>IFERROR(VLOOKUP(RIT_FUSIONS[[#This Row],[ID]],RIT_ACUM!A:A,1,0),"NOVO")</f>
        <v>46965</v>
      </c>
    </row>
    <row r="201" spans="1:4" hidden="1" x14ac:dyDescent="0.35">
      <c r="A201" s="1">
        <v>46964</v>
      </c>
      <c r="B201" s="2">
        <v>46303</v>
      </c>
      <c r="C201" s="1" t="s">
        <v>24</v>
      </c>
      <c r="D201" s="1">
        <f>IFERROR(VLOOKUP(RIT_FUSIONS[[#This Row],[ID]],RIT_ACUM!A:A,1,0),"NOVO")</f>
        <v>46964</v>
      </c>
    </row>
    <row r="202" spans="1:4" hidden="1" x14ac:dyDescent="0.35">
      <c r="A202" s="1">
        <v>46963</v>
      </c>
      <c r="B202" s="2">
        <v>46303</v>
      </c>
      <c r="C202" s="1" t="s">
        <v>4</v>
      </c>
      <c r="D202" s="1">
        <f>IFERROR(VLOOKUP(RIT_FUSIONS[[#This Row],[ID]],RIT_ACUM!A:A,1,0),"NOVO")</f>
        <v>46963</v>
      </c>
    </row>
    <row r="203" spans="1:4" hidden="1" x14ac:dyDescent="0.35">
      <c r="A203" s="1">
        <v>46962</v>
      </c>
      <c r="B203" s="2">
        <v>46303</v>
      </c>
      <c r="C203" s="1" t="s">
        <v>4</v>
      </c>
      <c r="D203" s="1">
        <f>IFERROR(VLOOKUP(RIT_FUSIONS[[#This Row],[ID]],RIT_ACUM!A:A,1,0),"NOVO")</f>
        <v>46962</v>
      </c>
    </row>
    <row r="204" spans="1:4" hidden="1" x14ac:dyDescent="0.35">
      <c r="A204" s="1">
        <v>46961</v>
      </c>
      <c r="B204" s="2">
        <v>46302</v>
      </c>
      <c r="C204" s="1" t="s">
        <v>17</v>
      </c>
      <c r="D204" s="1">
        <f>IFERROR(VLOOKUP(RIT_FUSIONS[[#This Row],[ID]],RIT_ACUM!A:A,1,0),"NOVO")</f>
        <v>46961</v>
      </c>
    </row>
    <row r="205" spans="1:4" hidden="1" x14ac:dyDescent="0.35">
      <c r="A205" s="1">
        <v>46960</v>
      </c>
      <c r="B205" s="2">
        <v>46302</v>
      </c>
      <c r="C205" s="1" t="s">
        <v>17</v>
      </c>
      <c r="D205" s="1">
        <f>IFERROR(VLOOKUP(RIT_FUSIONS[[#This Row],[ID]],RIT_ACUM!A:A,1,0),"NOVO")</f>
        <v>46960</v>
      </c>
    </row>
    <row r="206" spans="1:4" hidden="1" x14ac:dyDescent="0.35">
      <c r="A206" s="1">
        <v>46956</v>
      </c>
      <c r="B206" s="2">
        <v>46302</v>
      </c>
      <c r="C206" s="1" t="s">
        <v>9</v>
      </c>
      <c r="D206" s="1">
        <f>IFERROR(VLOOKUP(RIT_FUSIONS[[#This Row],[ID]],RIT_ACUM!A:A,1,0),"NOVO")</f>
        <v>46956</v>
      </c>
    </row>
    <row r="207" spans="1:4" hidden="1" x14ac:dyDescent="0.35">
      <c r="A207" s="1">
        <v>46955</v>
      </c>
      <c r="B207" s="2">
        <v>46302</v>
      </c>
      <c r="C207" s="1" t="s">
        <v>3</v>
      </c>
      <c r="D207" s="1">
        <f>IFERROR(VLOOKUP(RIT_FUSIONS[[#This Row],[ID]],RIT_ACUM!A:A,1,0),"NOVO")</f>
        <v>46955</v>
      </c>
    </row>
    <row r="208" spans="1:4" hidden="1" x14ac:dyDescent="0.35">
      <c r="A208" s="1">
        <v>46954</v>
      </c>
      <c r="B208" s="2">
        <v>46302</v>
      </c>
      <c r="C208" s="1" t="s">
        <v>9</v>
      </c>
      <c r="D208" s="1">
        <f>IFERROR(VLOOKUP(RIT_FUSIONS[[#This Row],[ID]],RIT_ACUM!A:A,1,0),"NOVO")</f>
        <v>46954</v>
      </c>
    </row>
    <row r="209" spans="1:4" hidden="1" x14ac:dyDescent="0.35">
      <c r="A209" s="1">
        <v>46953</v>
      </c>
      <c r="B209" s="2">
        <v>46302</v>
      </c>
      <c r="C209" s="1" t="s">
        <v>9</v>
      </c>
      <c r="D209" s="1">
        <f>IFERROR(VLOOKUP(RIT_FUSIONS[[#This Row],[ID]],RIT_ACUM!A:A,1,0),"NOVO")</f>
        <v>46953</v>
      </c>
    </row>
    <row r="210" spans="1:4" hidden="1" x14ac:dyDescent="0.35">
      <c r="A210" s="1">
        <v>46952</v>
      </c>
      <c r="B210" s="2">
        <v>46302</v>
      </c>
      <c r="C210" s="1" t="s">
        <v>7</v>
      </c>
      <c r="D210" s="1">
        <f>IFERROR(VLOOKUP(RIT_FUSIONS[[#This Row],[ID]],RIT_ACUM!A:A,1,0),"NOVO")</f>
        <v>46952</v>
      </c>
    </row>
    <row r="211" spans="1:4" hidden="1" x14ac:dyDescent="0.35">
      <c r="A211" s="1">
        <v>46951</v>
      </c>
      <c r="B211" s="2">
        <v>46302</v>
      </c>
      <c r="C211" s="1" t="s">
        <v>7</v>
      </c>
      <c r="D211" s="1">
        <f>IFERROR(VLOOKUP(RIT_FUSIONS[[#This Row],[ID]],RIT_ACUM!A:A,1,0),"NOVO")</f>
        <v>46951</v>
      </c>
    </row>
    <row r="212" spans="1:4" hidden="1" x14ac:dyDescent="0.35">
      <c r="A212" s="1">
        <v>46950</v>
      </c>
      <c r="B212" s="2">
        <v>46302</v>
      </c>
      <c r="C212" s="1" t="s">
        <v>7</v>
      </c>
      <c r="D212" s="1">
        <f>IFERROR(VLOOKUP(RIT_FUSIONS[[#This Row],[ID]],RIT_ACUM!A:A,1,0),"NOVO")</f>
        <v>46950</v>
      </c>
    </row>
    <row r="213" spans="1:4" hidden="1" x14ac:dyDescent="0.35">
      <c r="A213" s="1">
        <v>46949</v>
      </c>
      <c r="B213" s="2">
        <v>46302</v>
      </c>
      <c r="C213" s="1" t="s">
        <v>3</v>
      </c>
      <c r="D213" s="1">
        <f>IFERROR(VLOOKUP(RIT_FUSIONS[[#This Row],[ID]],RIT_ACUM!A:A,1,0),"NOVO")</f>
        <v>46949</v>
      </c>
    </row>
    <row r="214" spans="1:4" hidden="1" x14ac:dyDescent="0.35">
      <c r="A214" s="1">
        <v>46947</v>
      </c>
      <c r="B214" s="2">
        <v>46302</v>
      </c>
      <c r="C214" s="1" t="s">
        <v>19</v>
      </c>
      <c r="D214" s="1">
        <f>IFERROR(VLOOKUP(RIT_FUSIONS[[#This Row],[ID]],RIT_ACUM!A:A,1,0),"NOVO")</f>
        <v>46947</v>
      </c>
    </row>
    <row r="215" spans="1:4" hidden="1" x14ac:dyDescent="0.35">
      <c r="A215" s="1">
        <v>46945</v>
      </c>
      <c r="B215" s="2">
        <v>46302</v>
      </c>
      <c r="C215" s="1" t="s">
        <v>6</v>
      </c>
      <c r="D215" s="1">
        <f>IFERROR(VLOOKUP(RIT_FUSIONS[[#This Row],[ID]],RIT_ACUM!A:A,1,0),"NOVO")</f>
        <v>46945</v>
      </c>
    </row>
    <row r="216" spans="1:4" hidden="1" x14ac:dyDescent="0.35">
      <c r="A216" s="1">
        <v>46944</v>
      </c>
      <c r="B216" s="2">
        <v>46302</v>
      </c>
      <c r="C216" s="1" t="s">
        <v>6</v>
      </c>
      <c r="D216" s="1">
        <f>IFERROR(VLOOKUP(RIT_FUSIONS[[#This Row],[ID]],RIT_ACUM!A:A,1,0),"NOVO")</f>
        <v>46944</v>
      </c>
    </row>
    <row r="217" spans="1:4" hidden="1" x14ac:dyDescent="0.35">
      <c r="A217" s="1">
        <v>46942</v>
      </c>
      <c r="B217" s="2">
        <v>46302</v>
      </c>
      <c r="C217" s="1" t="s">
        <v>3</v>
      </c>
      <c r="D217" s="1">
        <f>IFERROR(VLOOKUP(RIT_FUSIONS[[#This Row],[ID]],RIT_ACUM!A:A,1,0),"NOVO")</f>
        <v>46942</v>
      </c>
    </row>
    <row r="218" spans="1:4" hidden="1" x14ac:dyDescent="0.35">
      <c r="A218" s="1">
        <v>46913</v>
      </c>
      <c r="B218" s="2">
        <v>46301</v>
      </c>
      <c r="C218" s="1" t="s">
        <v>10</v>
      </c>
      <c r="D218" s="1">
        <f>IFERROR(VLOOKUP(RIT_FUSIONS[[#This Row],[ID]],RIT_ACUM!A:A,1,0),"NOVO")</f>
        <v>46913</v>
      </c>
    </row>
    <row r="219" spans="1:4" hidden="1" x14ac:dyDescent="0.35">
      <c r="A219" s="1">
        <v>46912</v>
      </c>
      <c r="B219" s="2">
        <v>46301</v>
      </c>
      <c r="C219" s="1" t="s">
        <v>10</v>
      </c>
      <c r="D219" s="1">
        <f>IFERROR(VLOOKUP(RIT_FUSIONS[[#This Row],[ID]],RIT_ACUM!A:A,1,0),"NOVO")</f>
        <v>46912</v>
      </c>
    </row>
    <row r="220" spans="1:4" hidden="1" x14ac:dyDescent="0.35">
      <c r="A220" s="1">
        <v>46903</v>
      </c>
      <c r="B220" s="2">
        <v>46301</v>
      </c>
      <c r="C220" s="1" t="s">
        <v>17</v>
      </c>
      <c r="D220" s="1">
        <f>IFERROR(VLOOKUP(RIT_FUSIONS[[#This Row],[ID]],RIT_ACUM!A:A,1,0),"NOVO")</f>
        <v>46903</v>
      </c>
    </row>
    <row r="221" spans="1:4" hidden="1" x14ac:dyDescent="0.35">
      <c r="A221" s="1">
        <v>46902</v>
      </c>
      <c r="B221" s="2">
        <v>46301</v>
      </c>
      <c r="C221" s="1" t="s">
        <v>17</v>
      </c>
      <c r="D221" s="1">
        <f>IFERROR(VLOOKUP(RIT_FUSIONS[[#This Row],[ID]],RIT_ACUM!A:A,1,0),"NOVO")</f>
        <v>46902</v>
      </c>
    </row>
    <row r="222" spans="1:4" hidden="1" x14ac:dyDescent="0.35">
      <c r="A222" s="1">
        <v>46901</v>
      </c>
      <c r="B222" s="2">
        <v>46301</v>
      </c>
      <c r="C222" s="1" t="s">
        <v>24</v>
      </c>
      <c r="D222" s="1">
        <f>IFERROR(VLOOKUP(RIT_FUSIONS[[#This Row],[ID]],RIT_ACUM!A:A,1,0),"NOVO")</f>
        <v>46901</v>
      </c>
    </row>
    <row r="223" spans="1:4" hidden="1" x14ac:dyDescent="0.35">
      <c r="A223" s="1">
        <v>46900</v>
      </c>
      <c r="B223" s="2">
        <v>46301</v>
      </c>
      <c r="C223" s="1" t="s">
        <v>21</v>
      </c>
      <c r="D223" s="1">
        <f>IFERROR(VLOOKUP(RIT_FUSIONS[[#This Row],[ID]],RIT_ACUM!A:A,1,0),"NOVO")</f>
        <v>46900</v>
      </c>
    </row>
    <row r="224" spans="1:4" hidden="1" x14ac:dyDescent="0.35">
      <c r="A224" s="1">
        <v>46899</v>
      </c>
      <c r="B224" s="2">
        <v>46301</v>
      </c>
      <c r="C224" s="1" t="s">
        <v>21</v>
      </c>
      <c r="D224" s="1">
        <f>IFERROR(VLOOKUP(RIT_FUSIONS[[#This Row],[ID]],RIT_ACUM!A:A,1,0),"NOVO")</f>
        <v>46899</v>
      </c>
    </row>
    <row r="225" spans="1:4" hidden="1" x14ac:dyDescent="0.35">
      <c r="A225" s="1">
        <v>46898</v>
      </c>
      <c r="B225" s="2">
        <v>46301</v>
      </c>
      <c r="C225" s="1" t="s">
        <v>21</v>
      </c>
      <c r="D225" s="1">
        <f>IFERROR(VLOOKUP(RIT_FUSIONS[[#This Row],[ID]],RIT_ACUM!A:A,1,0),"NOVO")</f>
        <v>46898</v>
      </c>
    </row>
    <row r="226" spans="1:4" hidden="1" x14ac:dyDescent="0.35">
      <c r="A226" s="1">
        <v>46897</v>
      </c>
      <c r="B226" s="2">
        <v>46301</v>
      </c>
      <c r="C226" s="1" t="s">
        <v>21</v>
      </c>
      <c r="D226" s="1">
        <f>IFERROR(VLOOKUP(RIT_FUSIONS[[#This Row],[ID]],RIT_ACUM!A:A,1,0),"NOVO")</f>
        <v>46897</v>
      </c>
    </row>
    <row r="227" spans="1:4" hidden="1" x14ac:dyDescent="0.35">
      <c r="A227" s="1">
        <v>46896</v>
      </c>
      <c r="B227" s="2">
        <v>46301</v>
      </c>
      <c r="C227" s="1" t="s">
        <v>3</v>
      </c>
      <c r="D227" s="1">
        <f>IFERROR(VLOOKUP(RIT_FUSIONS[[#This Row],[ID]],RIT_ACUM!A:A,1,0),"NOVO")</f>
        <v>46896</v>
      </c>
    </row>
    <row r="228" spans="1:4" hidden="1" x14ac:dyDescent="0.35">
      <c r="A228" s="1">
        <v>46895</v>
      </c>
      <c r="B228" s="2">
        <v>46301</v>
      </c>
      <c r="C228" s="1" t="s">
        <v>22</v>
      </c>
      <c r="D228" s="1">
        <f>IFERROR(VLOOKUP(RIT_FUSIONS[[#This Row],[ID]],RIT_ACUM!A:A,1,0),"NOVO")</f>
        <v>46895</v>
      </c>
    </row>
    <row r="229" spans="1:4" hidden="1" x14ac:dyDescent="0.35">
      <c r="A229" s="1">
        <v>46894</v>
      </c>
      <c r="B229" s="2">
        <v>46301</v>
      </c>
      <c r="C229" s="1" t="s">
        <v>22</v>
      </c>
      <c r="D229" s="1">
        <f>IFERROR(VLOOKUP(RIT_FUSIONS[[#This Row],[ID]],RIT_ACUM!A:A,1,0),"NOVO")</f>
        <v>46894</v>
      </c>
    </row>
    <row r="230" spans="1:4" hidden="1" x14ac:dyDescent="0.35">
      <c r="A230" s="1">
        <v>46893</v>
      </c>
      <c r="B230" s="2">
        <v>46301</v>
      </c>
      <c r="C230" s="1" t="s">
        <v>22</v>
      </c>
      <c r="D230" s="1">
        <f>IFERROR(VLOOKUP(RIT_FUSIONS[[#This Row],[ID]],RIT_ACUM!A:A,1,0),"NOVO")</f>
        <v>46893</v>
      </c>
    </row>
    <row r="231" spans="1:4" hidden="1" x14ac:dyDescent="0.35">
      <c r="A231" s="1">
        <v>46892</v>
      </c>
      <c r="B231" s="2">
        <v>46301</v>
      </c>
      <c r="C231" s="1" t="s">
        <v>3</v>
      </c>
      <c r="D231" s="1">
        <f>IFERROR(VLOOKUP(RIT_FUSIONS[[#This Row],[ID]],RIT_ACUM!A:A,1,0),"NOVO")</f>
        <v>46892</v>
      </c>
    </row>
    <row r="232" spans="1:4" hidden="1" x14ac:dyDescent="0.35">
      <c r="A232" s="1">
        <v>46890</v>
      </c>
      <c r="B232" s="2">
        <v>46301</v>
      </c>
      <c r="C232" s="1" t="s">
        <v>3</v>
      </c>
      <c r="D232" s="1">
        <f>IFERROR(VLOOKUP(RIT_FUSIONS[[#This Row],[ID]],RIT_ACUM!A:A,1,0),"NOVO")</f>
        <v>46890</v>
      </c>
    </row>
    <row r="233" spans="1:4" hidden="1" x14ac:dyDescent="0.35">
      <c r="A233" s="1">
        <v>46888</v>
      </c>
      <c r="B233" s="2">
        <v>46301</v>
      </c>
      <c r="C233" s="1" t="s">
        <v>21</v>
      </c>
      <c r="D233" s="1">
        <f>IFERROR(VLOOKUP(RIT_FUSIONS[[#This Row],[ID]],RIT_ACUM!A:A,1,0),"NOVO")</f>
        <v>46888</v>
      </c>
    </row>
    <row r="234" spans="1:4" hidden="1" x14ac:dyDescent="0.35">
      <c r="A234" s="1">
        <v>46882</v>
      </c>
      <c r="B234" s="2">
        <v>46301</v>
      </c>
      <c r="C234" s="1" t="s">
        <v>3</v>
      </c>
      <c r="D234" s="1">
        <f>IFERROR(VLOOKUP(RIT_FUSIONS[[#This Row],[ID]],RIT_ACUM!A:A,1,0),"NOVO")</f>
        <v>46882</v>
      </c>
    </row>
    <row r="235" spans="1:4" hidden="1" x14ac:dyDescent="0.35">
      <c r="A235" s="1">
        <v>46881</v>
      </c>
      <c r="B235" s="2">
        <v>46301</v>
      </c>
      <c r="C235" s="1" t="s">
        <v>21</v>
      </c>
      <c r="D235" s="1">
        <f>IFERROR(VLOOKUP(RIT_FUSIONS[[#This Row],[ID]],RIT_ACUM!A:A,1,0),"NOVO")</f>
        <v>46881</v>
      </c>
    </row>
    <row r="236" spans="1:4" hidden="1" x14ac:dyDescent="0.35">
      <c r="A236" s="1">
        <v>46879</v>
      </c>
      <c r="B236" s="2">
        <v>46301</v>
      </c>
      <c r="C236" s="1" t="s">
        <v>9</v>
      </c>
      <c r="D236" s="1">
        <f>IFERROR(VLOOKUP(RIT_FUSIONS[[#This Row],[ID]],RIT_ACUM!A:A,1,0),"NOVO")</f>
        <v>46879</v>
      </c>
    </row>
    <row r="237" spans="1:4" hidden="1" x14ac:dyDescent="0.35">
      <c r="A237" s="1">
        <v>46878</v>
      </c>
      <c r="B237" s="2">
        <v>46301</v>
      </c>
      <c r="C237" s="1" t="s">
        <v>9</v>
      </c>
      <c r="D237" s="1">
        <f>IFERROR(VLOOKUP(RIT_FUSIONS[[#This Row],[ID]],RIT_ACUM!A:A,1,0),"NOVO")</f>
        <v>46878</v>
      </c>
    </row>
    <row r="238" spans="1:4" hidden="1" x14ac:dyDescent="0.35">
      <c r="A238" s="1">
        <v>46877</v>
      </c>
      <c r="B238" s="2">
        <v>46301</v>
      </c>
      <c r="C238" s="1" t="s">
        <v>3</v>
      </c>
      <c r="D238" s="1">
        <f>IFERROR(VLOOKUP(RIT_FUSIONS[[#This Row],[ID]],RIT_ACUM!A:A,1,0),"NOVO")</f>
        <v>46877</v>
      </c>
    </row>
    <row r="239" spans="1:4" hidden="1" x14ac:dyDescent="0.35">
      <c r="A239" s="1">
        <v>46873</v>
      </c>
      <c r="B239" s="2">
        <v>46301</v>
      </c>
      <c r="C239" s="1" t="s">
        <v>21</v>
      </c>
      <c r="D239" s="1">
        <f>IFERROR(VLOOKUP(RIT_FUSIONS[[#This Row],[ID]],RIT_ACUM!A:A,1,0),"NOVO")</f>
        <v>46873</v>
      </c>
    </row>
    <row r="240" spans="1:4" hidden="1" x14ac:dyDescent="0.35">
      <c r="A240" s="1">
        <v>46871</v>
      </c>
      <c r="B240" s="2">
        <v>46301</v>
      </c>
      <c r="C240" s="1" t="s">
        <v>24</v>
      </c>
      <c r="D240" s="1">
        <f>IFERROR(VLOOKUP(RIT_FUSIONS[[#This Row],[ID]],RIT_ACUM!A:A,1,0),"NOVO")</f>
        <v>46871</v>
      </c>
    </row>
    <row r="241" spans="1:4" hidden="1" x14ac:dyDescent="0.35">
      <c r="A241" s="1">
        <v>46870</v>
      </c>
      <c r="B241" s="2">
        <v>46301</v>
      </c>
      <c r="C241" s="1" t="s">
        <v>24</v>
      </c>
      <c r="D241" s="1">
        <f>IFERROR(VLOOKUP(RIT_FUSIONS[[#This Row],[ID]],RIT_ACUM!A:A,1,0),"NOVO")</f>
        <v>46870</v>
      </c>
    </row>
    <row r="242" spans="1:4" hidden="1" x14ac:dyDescent="0.35">
      <c r="A242" s="1">
        <v>46869</v>
      </c>
      <c r="B242" s="2">
        <v>46301</v>
      </c>
      <c r="C242" s="1" t="s">
        <v>24</v>
      </c>
      <c r="D242" s="1">
        <f>IFERROR(VLOOKUP(RIT_FUSIONS[[#This Row],[ID]],RIT_ACUM!A:A,1,0),"NOVO")</f>
        <v>46869</v>
      </c>
    </row>
    <row r="243" spans="1:4" hidden="1" x14ac:dyDescent="0.35">
      <c r="A243" s="1">
        <v>46867</v>
      </c>
      <c r="B243" s="2">
        <v>46301</v>
      </c>
      <c r="C243" s="1" t="s">
        <v>19</v>
      </c>
      <c r="D243" s="1">
        <f>IFERROR(VLOOKUP(RIT_FUSIONS[[#This Row],[ID]],RIT_ACUM!A:A,1,0),"NOVO")</f>
        <v>46867</v>
      </c>
    </row>
    <row r="244" spans="1:4" hidden="1" x14ac:dyDescent="0.35">
      <c r="A244" s="1">
        <v>46865</v>
      </c>
      <c r="B244" s="2">
        <v>46301</v>
      </c>
      <c r="C244" s="1" t="s">
        <v>3</v>
      </c>
      <c r="D244" s="1">
        <f>IFERROR(VLOOKUP(RIT_FUSIONS[[#This Row],[ID]],RIT_ACUM!A:A,1,0),"NOVO")</f>
        <v>46865</v>
      </c>
    </row>
    <row r="245" spans="1:4" hidden="1" x14ac:dyDescent="0.35">
      <c r="A245" s="1">
        <v>46864</v>
      </c>
      <c r="B245" s="2">
        <v>46301</v>
      </c>
      <c r="C245" s="1" t="s">
        <v>3</v>
      </c>
      <c r="D245" s="1">
        <f>IFERROR(VLOOKUP(RIT_FUSIONS[[#This Row],[ID]],RIT_ACUM!A:A,1,0),"NOVO")</f>
        <v>46864</v>
      </c>
    </row>
    <row r="246" spans="1:4" hidden="1" x14ac:dyDescent="0.35">
      <c r="A246" s="1">
        <v>46863</v>
      </c>
      <c r="B246" s="2">
        <v>46301</v>
      </c>
      <c r="C246" s="1" t="s">
        <v>28</v>
      </c>
      <c r="D246" s="1">
        <f>IFERROR(VLOOKUP(RIT_FUSIONS[[#This Row],[ID]],RIT_ACUM!A:A,1,0),"NOVO")</f>
        <v>46863</v>
      </c>
    </row>
    <row r="247" spans="1:4" hidden="1" x14ac:dyDescent="0.35">
      <c r="A247" s="1">
        <v>46862</v>
      </c>
      <c r="B247" s="2">
        <v>46301</v>
      </c>
      <c r="C247" s="1" t="s">
        <v>28</v>
      </c>
      <c r="D247" s="1">
        <f>IFERROR(VLOOKUP(RIT_FUSIONS[[#This Row],[ID]],RIT_ACUM!A:A,1,0),"NOVO")</f>
        <v>46862</v>
      </c>
    </row>
    <row r="248" spans="1:4" hidden="1" x14ac:dyDescent="0.35">
      <c r="A248" s="1">
        <v>46861</v>
      </c>
      <c r="B248" s="2">
        <v>46301</v>
      </c>
      <c r="C248" s="1" t="s">
        <v>28</v>
      </c>
      <c r="D248" s="1">
        <f>IFERROR(VLOOKUP(RIT_FUSIONS[[#This Row],[ID]],RIT_ACUM!A:A,1,0),"NOVO")</f>
        <v>46861</v>
      </c>
    </row>
    <row r="249" spans="1:4" hidden="1" x14ac:dyDescent="0.35">
      <c r="A249" s="1">
        <v>46860</v>
      </c>
      <c r="B249" s="2">
        <v>46301</v>
      </c>
      <c r="C249" s="1" t="s">
        <v>28</v>
      </c>
      <c r="D249" s="1">
        <f>IFERROR(VLOOKUP(RIT_FUSIONS[[#This Row],[ID]],RIT_ACUM!A:A,1,0),"NOVO")</f>
        <v>46860</v>
      </c>
    </row>
    <row r="250" spans="1:4" hidden="1" x14ac:dyDescent="0.35">
      <c r="A250" s="1">
        <v>46854</v>
      </c>
      <c r="B250" s="2">
        <v>46301</v>
      </c>
      <c r="C250" s="1" t="s">
        <v>24</v>
      </c>
      <c r="D250" s="1">
        <f>IFERROR(VLOOKUP(RIT_FUSIONS[[#This Row],[ID]],RIT_ACUM!A:A,1,0),"NOVO")</f>
        <v>46854</v>
      </c>
    </row>
    <row r="251" spans="1:4" hidden="1" x14ac:dyDescent="0.35">
      <c r="A251" s="1">
        <v>46853</v>
      </c>
      <c r="B251" s="2">
        <v>46301</v>
      </c>
      <c r="C251" s="1" t="s">
        <v>24</v>
      </c>
      <c r="D251" s="1">
        <f>IFERROR(VLOOKUP(RIT_FUSIONS[[#This Row],[ID]],RIT_ACUM!A:A,1,0),"NOVO")</f>
        <v>46853</v>
      </c>
    </row>
    <row r="252" spans="1:4" hidden="1" x14ac:dyDescent="0.35">
      <c r="A252" s="1">
        <v>46852</v>
      </c>
      <c r="B252" s="2">
        <v>46301</v>
      </c>
      <c r="C252" s="1" t="s">
        <v>24</v>
      </c>
      <c r="D252" s="1">
        <f>IFERROR(VLOOKUP(RIT_FUSIONS[[#This Row],[ID]],RIT_ACUM!A:A,1,0),"NOVO")</f>
        <v>46852</v>
      </c>
    </row>
    <row r="253" spans="1:4" hidden="1" x14ac:dyDescent="0.35">
      <c r="A253" s="1">
        <v>46851</v>
      </c>
      <c r="B253" s="2">
        <v>46301</v>
      </c>
      <c r="C253" s="1" t="s">
        <v>24</v>
      </c>
      <c r="D253" s="1">
        <f>IFERROR(VLOOKUP(RIT_FUSIONS[[#This Row],[ID]],RIT_ACUM!A:A,1,0),"NOVO")</f>
        <v>46851</v>
      </c>
    </row>
    <row r="254" spans="1:4" hidden="1" x14ac:dyDescent="0.35">
      <c r="A254" s="1">
        <v>46850</v>
      </c>
      <c r="B254" s="2">
        <v>46301</v>
      </c>
      <c r="C254" s="1" t="s">
        <v>24</v>
      </c>
      <c r="D254" s="1">
        <f>IFERROR(VLOOKUP(RIT_FUSIONS[[#This Row],[ID]],RIT_ACUM!A:A,1,0),"NOVO")</f>
        <v>46850</v>
      </c>
    </row>
    <row r="255" spans="1:4" hidden="1" x14ac:dyDescent="0.35">
      <c r="A255" s="1">
        <v>46849</v>
      </c>
      <c r="B255" s="2">
        <v>46301</v>
      </c>
      <c r="C255" s="1" t="s">
        <v>3</v>
      </c>
      <c r="D255" s="1">
        <f>IFERROR(VLOOKUP(RIT_FUSIONS[[#This Row],[ID]],RIT_ACUM!A:A,1,0),"NOVO")</f>
        <v>46849</v>
      </c>
    </row>
    <row r="256" spans="1:4" hidden="1" x14ac:dyDescent="0.35">
      <c r="A256" s="1">
        <v>46848</v>
      </c>
      <c r="B256" s="2">
        <v>46301</v>
      </c>
      <c r="C256" s="1" t="s">
        <v>3</v>
      </c>
      <c r="D256" s="1">
        <f>IFERROR(VLOOKUP(RIT_FUSIONS[[#This Row],[ID]],RIT_ACUM!A:A,1,0),"NOVO")</f>
        <v>46848</v>
      </c>
    </row>
    <row r="257" spans="1:4" hidden="1" x14ac:dyDescent="0.35">
      <c r="A257" s="1">
        <v>46847</v>
      </c>
      <c r="B257" s="2">
        <v>46301</v>
      </c>
      <c r="C257" s="1" t="s">
        <v>9</v>
      </c>
      <c r="D257" s="1">
        <f>IFERROR(VLOOKUP(RIT_FUSIONS[[#This Row],[ID]],RIT_ACUM!A:A,1,0),"NOVO")</f>
        <v>46847</v>
      </c>
    </row>
    <row r="258" spans="1:4" hidden="1" x14ac:dyDescent="0.35">
      <c r="A258" s="1">
        <v>46846</v>
      </c>
      <c r="B258" s="2">
        <v>46301</v>
      </c>
      <c r="C258" s="1" t="s">
        <v>9</v>
      </c>
      <c r="D258" s="1">
        <f>IFERROR(VLOOKUP(RIT_FUSIONS[[#This Row],[ID]],RIT_ACUM!A:A,1,0),"NOVO")</f>
        <v>46846</v>
      </c>
    </row>
    <row r="259" spans="1:4" hidden="1" x14ac:dyDescent="0.35">
      <c r="A259" s="1">
        <v>46845</v>
      </c>
      <c r="B259" s="2">
        <v>46301</v>
      </c>
      <c r="C259" s="1" t="s">
        <v>9</v>
      </c>
      <c r="D259" s="1">
        <f>IFERROR(VLOOKUP(RIT_FUSIONS[[#This Row],[ID]],RIT_ACUM!A:A,1,0),"NOVO")</f>
        <v>46845</v>
      </c>
    </row>
    <row r="260" spans="1:4" hidden="1" x14ac:dyDescent="0.35">
      <c r="A260" s="1">
        <v>46844</v>
      </c>
      <c r="B260" s="2">
        <v>46301</v>
      </c>
      <c r="C260" s="1" t="s">
        <v>9</v>
      </c>
      <c r="D260" s="1">
        <f>IFERROR(VLOOKUP(RIT_FUSIONS[[#This Row],[ID]],RIT_ACUM!A:A,1,0),"NOVO")</f>
        <v>46844</v>
      </c>
    </row>
    <row r="261" spans="1:4" hidden="1" x14ac:dyDescent="0.35">
      <c r="A261" s="1">
        <v>46843</v>
      </c>
      <c r="B261" s="2">
        <v>46301</v>
      </c>
      <c r="C261" s="1" t="s">
        <v>9</v>
      </c>
      <c r="D261" s="1">
        <f>IFERROR(VLOOKUP(RIT_FUSIONS[[#This Row],[ID]],RIT_ACUM!A:A,1,0),"NOVO")</f>
        <v>46843</v>
      </c>
    </row>
    <row r="262" spans="1:4" hidden="1" x14ac:dyDescent="0.35">
      <c r="A262" s="1">
        <v>46842</v>
      </c>
      <c r="B262" s="2">
        <v>46301</v>
      </c>
      <c r="C262" s="1" t="s">
        <v>9</v>
      </c>
      <c r="D262" s="1">
        <f>IFERROR(VLOOKUP(RIT_FUSIONS[[#This Row],[ID]],RIT_ACUM!A:A,1,0),"NOVO")</f>
        <v>46842</v>
      </c>
    </row>
    <row r="263" spans="1:4" hidden="1" x14ac:dyDescent="0.35">
      <c r="A263" s="1">
        <v>46841</v>
      </c>
      <c r="B263" s="2">
        <v>46300</v>
      </c>
      <c r="C263" s="1" t="s">
        <v>3</v>
      </c>
      <c r="D263" s="1">
        <f>IFERROR(VLOOKUP(RIT_FUSIONS[[#This Row],[ID]],RIT_ACUM!A:A,1,0),"NOVO")</f>
        <v>46841</v>
      </c>
    </row>
    <row r="264" spans="1:4" hidden="1" x14ac:dyDescent="0.35">
      <c r="A264" s="1">
        <v>46840</v>
      </c>
      <c r="B264" s="2">
        <v>46300</v>
      </c>
      <c r="C264" s="1" t="s">
        <v>10</v>
      </c>
      <c r="D264" s="1">
        <f>IFERROR(VLOOKUP(RIT_FUSIONS[[#This Row],[ID]],RIT_ACUM!A:A,1,0),"NOVO")</f>
        <v>46840</v>
      </c>
    </row>
    <row r="265" spans="1:4" hidden="1" x14ac:dyDescent="0.35">
      <c r="A265" s="1">
        <v>46839</v>
      </c>
      <c r="B265" s="2">
        <v>46300</v>
      </c>
      <c r="C265" s="1" t="s">
        <v>10</v>
      </c>
      <c r="D265" s="1">
        <f>IFERROR(VLOOKUP(RIT_FUSIONS[[#This Row],[ID]],RIT_ACUM!A:A,1,0),"NOVO")</f>
        <v>46839</v>
      </c>
    </row>
    <row r="266" spans="1:4" hidden="1" x14ac:dyDescent="0.35">
      <c r="A266" s="1">
        <v>46838</v>
      </c>
      <c r="B266" s="2">
        <v>46300</v>
      </c>
      <c r="C266" s="1" t="s">
        <v>11</v>
      </c>
      <c r="D266" s="1">
        <f>IFERROR(VLOOKUP(RIT_FUSIONS[[#This Row],[ID]],RIT_ACUM!A:A,1,0),"NOVO")</f>
        <v>46838</v>
      </c>
    </row>
    <row r="267" spans="1:4" hidden="1" x14ac:dyDescent="0.35">
      <c r="A267" s="1">
        <v>46836</v>
      </c>
      <c r="B267" s="2">
        <v>46300</v>
      </c>
      <c r="C267" s="1" t="s">
        <v>17</v>
      </c>
      <c r="D267" s="1">
        <f>IFERROR(VLOOKUP(RIT_FUSIONS[[#This Row],[ID]],RIT_ACUM!A:A,1,0),"NOVO")</f>
        <v>46836</v>
      </c>
    </row>
    <row r="268" spans="1:4" hidden="1" x14ac:dyDescent="0.35">
      <c r="A268" s="1">
        <v>46835</v>
      </c>
      <c r="B268" s="2">
        <v>46299</v>
      </c>
      <c r="C268" s="1" t="s">
        <v>17</v>
      </c>
      <c r="D268" s="1">
        <f>IFERROR(VLOOKUP(RIT_FUSIONS[[#This Row],[ID]],RIT_ACUM!A:A,1,0),"NOVO")</f>
        <v>46835</v>
      </c>
    </row>
    <row r="269" spans="1:4" hidden="1" x14ac:dyDescent="0.35">
      <c r="A269" s="1">
        <v>46834</v>
      </c>
      <c r="B269" s="2">
        <v>46299</v>
      </c>
      <c r="C269" s="1" t="s">
        <v>17</v>
      </c>
      <c r="D269" s="1">
        <f>IFERROR(VLOOKUP(RIT_FUSIONS[[#This Row],[ID]],RIT_ACUM!A:A,1,0),"NOVO")</f>
        <v>46834</v>
      </c>
    </row>
    <row r="270" spans="1:4" hidden="1" x14ac:dyDescent="0.35">
      <c r="A270" s="1">
        <v>46828</v>
      </c>
      <c r="B270" s="2">
        <v>46298</v>
      </c>
      <c r="C270" s="1" t="s">
        <v>17</v>
      </c>
      <c r="D270" s="1">
        <f>IFERROR(VLOOKUP(RIT_FUSIONS[[#This Row],[ID]],RIT_ACUM!A:A,1,0),"NOVO")</f>
        <v>46828</v>
      </c>
    </row>
    <row r="271" spans="1:4" hidden="1" x14ac:dyDescent="0.35">
      <c r="A271" s="1">
        <v>46827</v>
      </c>
      <c r="B271" s="2">
        <v>46298</v>
      </c>
      <c r="C271" s="1" t="s">
        <v>17</v>
      </c>
      <c r="D271" s="1">
        <f>IFERROR(VLOOKUP(RIT_FUSIONS[[#This Row],[ID]],RIT_ACUM!A:A,1,0),"NOVO")</f>
        <v>46827</v>
      </c>
    </row>
    <row r="272" spans="1:4" hidden="1" x14ac:dyDescent="0.35">
      <c r="A272" s="1">
        <v>46826</v>
      </c>
      <c r="B272" s="2">
        <v>46298</v>
      </c>
      <c r="C272" s="1" t="s">
        <v>17</v>
      </c>
      <c r="D272" s="1">
        <f>IFERROR(VLOOKUP(RIT_FUSIONS[[#This Row],[ID]],RIT_ACUM!A:A,1,0),"NOVO")</f>
        <v>46826</v>
      </c>
    </row>
    <row r="273" spans="1:4" hidden="1" x14ac:dyDescent="0.35">
      <c r="A273" s="1">
        <v>46825</v>
      </c>
      <c r="B273" s="2">
        <v>46298</v>
      </c>
      <c r="C273" s="1" t="s">
        <v>17</v>
      </c>
      <c r="D273" s="1">
        <f>IFERROR(VLOOKUP(RIT_FUSIONS[[#This Row],[ID]],RIT_ACUM!A:A,1,0),"NOVO")</f>
        <v>46825</v>
      </c>
    </row>
    <row r="274" spans="1:4" hidden="1" x14ac:dyDescent="0.35">
      <c r="A274" s="1">
        <v>46824</v>
      </c>
      <c r="B274" s="2">
        <v>46298</v>
      </c>
      <c r="C274" s="1" t="s">
        <v>4</v>
      </c>
      <c r="D274" s="1">
        <f>IFERROR(VLOOKUP(RIT_FUSIONS[[#This Row],[ID]],RIT_ACUM!A:A,1,0),"NOVO")</f>
        <v>46824</v>
      </c>
    </row>
    <row r="275" spans="1:4" hidden="1" x14ac:dyDescent="0.35">
      <c r="A275" s="1">
        <v>46823</v>
      </c>
      <c r="B275" s="2">
        <v>46298</v>
      </c>
      <c r="C275" s="1" t="s">
        <v>4</v>
      </c>
      <c r="D275" s="1">
        <f>IFERROR(VLOOKUP(RIT_FUSIONS[[#This Row],[ID]],RIT_ACUM!A:A,1,0),"NOVO")</f>
        <v>46823</v>
      </c>
    </row>
    <row r="276" spans="1:4" hidden="1" x14ac:dyDescent="0.35">
      <c r="A276" s="1">
        <v>46822</v>
      </c>
      <c r="B276" s="2">
        <v>46297</v>
      </c>
      <c r="C276" s="1" t="s">
        <v>3</v>
      </c>
      <c r="D276" s="1">
        <f>IFERROR(VLOOKUP(RIT_FUSIONS[[#This Row],[ID]],RIT_ACUM!A:A,1,0),"NOVO")</f>
        <v>46822</v>
      </c>
    </row>
    <row r="277" spans="1:4" hidden="1" x14ac:dyDescent="0.35">
      <c r="A277" s="1">
        <v>46821</v>
      </c>
      <c r="B277" s="2">
        <v>46297</v>
      </c>
      <c r="C277" s="1" t="s">
        <v>28</v>
      </c>
      <c r="D277" s="1">
        <f>IFERROR(VLOOKUP(RIT_FUSIONS[[#This Row],[ID]],RIT_ACUM!A:A,1,0),"NOVO")</f>
        <v>46821</v>
      </c>
    </row>
    <row r="278" spans="1:4" hidden="1" x14ac:dyDescent="0.35">
      <c r="A278" s="1">
        <v>46820</v>
      </c>
      <c r="B278" s="2">
        <v>46297</v>
      </c>
      <c r="C278" s="1" t="s">
        <v>28</v>
      </c>
      <c r="D278" s="1">
        <f>IFERROR(VLOOKUP(RIT_FUSIONS[[#This Row],[ID]],RIT_ACUM!A:A,1,0),"NOVO")</f>
        <v>46820</v>
      </c>
    </row>
    <row r="279" spans="1:4" hidden="1" x14ac:dyDescent="0.35">
      <c r="A279" s="1">
        <v>46804</v>
      </c>
      <c r="B279" s="2">
        <v>46297</v>
      </c>
      <c r="C279" s="1" t="s">
        <v>22</v>
      </c>
      <c r="D279" s="1">
        <f>IFERROR(VLOOKUP(RIT_FUSIONS[[#This Row],[ID]],RIT_ACUM!A:A,1,0),"NOVO")</f>
        <v>46804</v>
      </c>
    </row>
    <row r="280" spans="1:4" hidden="1" x14ac:dyDescent="0.35">
      <c r="A280" s="1">
        <v>46803</v>
      </c>
      <c r="B280" s="2">
        <v>46297</v>
      </c>
      <c r="C280" s="1" t="s">
        <v>22</v>
      </c>
      <c r="D280" s="1">
        <f>IFERROR(VLOOKUP(RIT_FUSIONS[[#This Row],[ID]],RIT_ACUM!A:A,1,0),"NOVO")</f>
        <v>46803</v>
      </c>
    </row>
    <row r="281" spans="1:4" hidden="1" x14ac:dyDescent="0.35">
      <c r="A281" s="1">
        <v>46802</v>
      </c>
      <c r="B281" s="2">
        <v>46297</v>
      </c>
      <c r="C281" s="1" t="s">
        <v>22</v>
      </c>
      <c r="D281" s="1">
        <f>IFERROR(VLOOKUP(RIT_FUSIONS[[#This Row],[ID]],RIT_ACUM!A:A,1,0),"NOVO")</f>
        <v>46802</v>
      </c>
    </row>
    <row r="282" spans="1:4" hidden="1" x14ac:dyDescent="0.35">
      <c r="A282" s="1">
        <v>46801</v>
      </c>
      <c r="B282" s="2">
        <v>46297</v>
      </c>
      <c r="C282" s="1" t="s">
        <v>22</v>
      </c>
      <c r="D282" s="1">
        <f>IFERROR(VLOOKUP(RIT_FUSIONS[[#This Row],[ID]],RIT_ACUM!A:A,1,0),"NOVO")</f>
        <v>46801</v>
      </c>
    </row>
    <row r="283" spans="1:4" hidden="1" x14ac:dyDescent="0.35">
      <c r="A283" s="1">
        <v>46796</v>
      </c>
      <c r="B283" s="2">
        <v>46297</v>
      </c>
      <c r="C283" s="1" t="s">
        <v>3</v>
      </c>
      <c r="D283" s="1">
        <f>IFERROR(VLOOKUP(RIT_FUSIONS[[#This Row],[ID]],RIT_ACUM!A:A,1,0),"NOVO")</f>
        <v>46796</v>
      </c>
    </row>
    <row r="284" spans="1:4" hidden="1" x14ac:dyDescent="0.35">
      <c r="A284" s="1">
        <v>46794</v>
      </c>
      <c r="B284" s="2">
        <v>46297</v>
      </c>
      <c r="C284" s="1" t="s">
        <v>28</v>
      </c>
      <c r="D284" s="1">
        <f>IFERROR(VLOOKUP(RIT_FUSIONS[[#This Row],[ID]],RIT_ACUM!A:A,1,0),"NOVO")</f>
        <v>46794</v>
      </c>
    </row>
    <row r="285" spans="1:4" hidden="1" x14ac:dyDescent="0.35">
      <c r="A285" s="1">
        <v>46793</v>
      </c>
      <c r="B285" s="2">
        <v>46297</v>
      </c>
      <c r="C285" s="1" t="s">
        <v>28</v>
      </c>
      <c r="D285" s="1">
        <f>IFERROR(VLOOKUP(RIT_FUSIONS[[#This Row],[ID]],RIT_ACUM!A:A,1,0),"NOVO")</f>
        <v>46793</v>
      </c>
    </row>
    <row r="286" spans="1:4" hidden="1" x14ac:dyDescent="0.35">
      <c r="A286" s="1">
        <v>46792</v>
      </c>
      <c r="B286" s="2">
        <v>46297</v>
      </c>
      <c r="C286" s="1" t="s">
        <v>28</v>
      </c>
      <c r="D286" s="1">
        <f>IFERROR(VLOOKUP(RIT_FUSIONS[[#This Row],[ID]],RIT_ACUM!A:A,1,0),"NOVO")</f>
        <v>46792</v>
      </c>
    </row>
    <row r="287" spans="1:4" hidden="1" x14ac:dyDescent="0.35">
      <c r="A287" s="1">
        <v>46791</v>
      </c>
      <c r="B287" s="2">
        <v>46297</v>
      </c>
      <c r="C287" s="1" t="s">
        <v>3</v>
      </c>
      <c r="D287" s="1">
        <f>IFERROR(VLOOKUP(RIT_FUSIONS[[#This Row],[ID]],RIT_ACUM!A:A,1,0),"NOVO")</f>
        <v>46791</v>
      </c>
    </row>
    <row r="288" spans="1:4" hidden="1" x14ac:dyDescent="0.35">
      <c r="A288" s="1">
        <v>46790</v>
      </c>
      <c r="B288" s="2">
        <v>46297</v>
      </c>
      <c r="C288" s="1" t="s">
        <v>9</v>
      </c>
      <c r="D288" s="1">
        <f>IFERROR(VLOOKUP(RIT_FUSIONS[[#This Row],[ID]],RIT_ACUM!A:A,1,0),"NOVO")</f>
        <v>46790</v>
      </c>
    </row>
    <row r="289" spans="1:4" hidden="1" x14ac:dyDescent="0.35">
      <c r="A289" s="1">
        <v>46788</v>
      </c>
      <c r="B289" s="2">
        <v>46297</v>
      </c>
      <c r="C289" s="1" t="s">
        <v>9</v>
      </c>
      <c r="D289" s="1">
        <f>IFERROR(VLOOKUP(RIT_FUSIONS[[#This Row],[ID]],RIT_ACUM!A:A,1,0),"NOVO")</f>
        <v>46788</v>
      </c>
    </row>
    <row r="290" spans="1:4" hidden="1" x14ac:dyDescent="0.35">
      <c r="A290" s="1">
        <v>46787</v>
      </c>
      <c r="B290" s="2">
        <v>46297</v>
      </c>
      <c r="C290" s="1" t="s">
        <v>3</v>
      </c>
      <c r="D290" s="1">
        <f>IFERROR(VLOOKUP(RIT_FUSIONS[[#This Row],[ID]],RIT_ACUM!A:A,1,0),"NOVO")</f>
        <v>46787</v>
      </c>
    </row>
    <row r="291" spans="1:4" hidden="1" x14ac:dyDescent="0.35">
      <c r="A291" s="1">
        <v>46786</v>
      </c>
      <c r="B291" s="2">
        <v>46297</v>
      </c>
      <c r="C291" s="1" t="s">
        <v>3</v>
      </c>
      <c r="D291" s="1">
        <f>IFERROR(VLOOKUP(RIT_FUSIONS[[#This Row],[ID]],RIT_ACUM!A:A,1,0),"NOVO")</f>
        <v>46786</v>
      </c>
    </row>
    <row r="292" spans="1:4" hidden="1" x14ac:dyDescent="0.35">
      <c r="A292" s="1">
        <v>46785</v>
      </c>
      <c r="B292" s="2">
        <v>46297</v>
      </c>
      <c r="C292" s="1" t="s">
        <v>3</v>
      </c>
      <c r="D292" s="1">
        <f>IFERROR(VLOOKUP(RIT_FUSIONS[[#This Row],[ID]],RIT_ACUM!A:A,1,0),"NOVO")</f>
        <v>46785</v>
      </c>
    </row>
    <row r="293" spans="1:4" hidden="1" x14ac:dyDescent="0.35">
      <c r="A293" s="1">
        <v>46781</v>
      </c>
      <c r="B293" s="2">
        <v>46296</v>
      </c>
      <c r="C293" s="1" t="s">
        <v>11</v>
      </c>
      <c r="D293" s="1">
        <f>IFERROR(VLOOKUP(RIT_FUSIONS[[#This Row],[ID]],RIT_ACUM!A:A,1,0),"NOVO")</f>
        <v>46781</v>
      </c>
    </row>
    <row r="294" spans="1:4" hidden="1" x14ac:dyDescent="0.35">
      <c r="A294" s="1">
        <v>46779</v>
      </c>
      <c r="B294" s="2">
        <v>46296</v>
      </c>
      <c r="C294" s="1" t="s">
        <v>22</v>
      </c>
      <c r="D294" s="1">
        <f>IFERROR(VLOOKUP(RIT_FUSIONS[[#This Row],[ID]],RIT_ACUM!A:A,1,0),"NOVO")</f>
        <v>46779</v>
      </c>
    </row>
    <row r="295" spans="1:4" hidden="1" x14ac:dyDescent="0.35">
      <c r="A295" s="1">
        <v>46778</v>
      </c>
      <c r="B295" s="2">
        <v>46296</v>
      </c>
      <c r="C295" s="1" t="s">
        <v>4</v>
      </c>
      <c r="D295" s="1">
        <f>IFERROR(VLOOKUP(RIT_FUSIONS[[#This Row],[ID]],RIT_ACUM!A:A,1,0),"NOVO")</f>
        <v>46778</v>
      </c>
    </row>
    <row r="296" spans="1:4" hidden="1" x14ac:dyDescent="0.35">
      <c r="A296" s="1">
        <v>46777</v>
      </c>
      <c r="B296" s="2">
        <v>46296</v>
      </c>
      <c r="C296" s="1" t="s">
        <v>4</v>
      </c>
      <c r="D296" s="1">
        <f>IFERROR(VLOOKUP(RIT_FUSIONS[[#This Row],[ID]],RIT_ACUM!A:A,1,0),"NOVO")</f>
        <v>46777</v>
      </c>
    </row>
    <row r="297" spans="1:4" hidden="1" x14ac:dyDescent="0.35">
      <c r="A297" s="1">
        <v>46774</v>
      </c>
      <c r="B297" s="2">
        <v>46296</v>
      </c>
      <c r="C297" s="1" t="s">
        <v>9</v>
      </c>
      <c r="D297" s="1">
        <f>IFERROR(VLOOKUP(RIT_FUSIONS[[#This Row],[ID]],RIT_ACUM!A:A,1,0),"NOVO")</f>
        <v>46774</v>
      </c>
    </row>
    <row r="298" spans="1:4" hidden="1" x14ac:dyDescent="0.35">
      <c r="A298" s="1">
        <v>46772</v>
      </c>
      <c r="B298" s="2">
        <v>46296</v>
      </c>
      <c r="C298" s="1" t="s">
        <v>9</v>
      </c>
      <c r="D298" s="1">
        <f>IFERROR(VLOOKUP(RIT_FUSIONS[[#This Row],[ID]],RIT_ACUM!A:A,1,0),"NOVO")</f>
        <v>46772</v>
      </c>
    </row>
    <row r="299" spans="1:4" hidden="1" x14ac:dyDescent="0.35">
      <c r="A299" s="1">
        <v>46771</v>
      </c>
      <c r="B299" s="2">
        <v>46296</v>
      </c>
      <c r="C299" s="1" t="s">
        <v>24</v>
      </c>
      <c r="D299" s="1">
        <f>IFERROR(VLOOKUP(RIT_FUSIONS[[#This Row],[ID]],RIT_ACUM!A:A,1,0),"NOVO")</f>
        <v>46771</v>
      </c>
    </row>
    <row r="300" spans="1:4" hidden="1" x14ac:dyDescent="0.35">
      <c r="A300" s="1">
        <v>46770</v>
      </c>
      <c r="B300" s="2">
        <v>46296</v>
      </c>
      <c r="C300" s="1" t="s">
        <v>24</v>
      </c>
      <c r="D300" s="1">
        <f>IFERROR(VLOOKUP(RIT_FUSIONS[[#This Row],[ID]],RIT_ACUM!A:A,1,0),"NOVO")</f>
        <v>46770</v>
      </c>
    </row>
    <row r="301" spans="1:4" hidden="1" x14ac:dyDescent="0.35">
      <c r="A301" s="1">
        <v>46769</v>
      </c>
      <c r="B301" s="2">
        <v>46296</v>
      </c>
      <c r="C301" s="1" t="s">
        <v>24</v>
      </c>
      <c r="D301" s="1">
        <f>IFERROR(VLOOKUP(RIT_FUSIONS[[#This Row],[ID]],RIT_ACUM!A:A,1,0),"NOVO")</f>
        <v>46769</v>
      </c>
    </row>
    <row r="302" spans="1:4" hidden="1" x14ac:dyDescent="0.35">
      <c r="A302" s="1">
        <v>46768</v>
      </c>
      <c r="B302" s="2">
        <v>46296</v>
      </c>
      <c r="C302" s="1" t="s">
        <v>24</v>
      </c>
      <c r="D302" s="1">
        <f>IFERROR(VLOOKUP(RIT_FUSIONS[[#This Row],[ID]],RIT_ACUM!A:A,1,0),"NOVO")</f>
        <v>46768</v>
      </c>
    </row>
    <row r="303" spans="1:4" hidden="1" x14ac:dyDescent="0.35">
      <c r="A303" s="1">
        <v>46767</v>
      </c>
      <c r="B303" s="2">
        <v>46296</v>
      </c>
      <c r="C303" s="1" t="s">
        <v>24</v>
      </c>
      <c r="D303" s="1">
        <f>IFERROR(VLOOKUP(RIT_FUSIONS[[#This Row],[ID]],RIT_ACUM!A:A,1,0),"NOVO")</f>
        <v>46767</v>
      </c>
    </row>
    <row r="304" spans="1:4" hidden="1" x14ac:dyDescent="0.35">
      <c r="A304" s="1">
        <v>46765</v>
      </c>
      <c r="B304" s="2">
        <v>46296</v>
      </c>
      <c r="C304" s="1" t="s">
        <v>7</v>
      </c>
      <c r="D304" s="1">
        <f>IFERROR(VLOOKUP(RIT_FUSIONS[[#This Row],[ID]],RIT_ACUM!A:A,1,0),"NOVO")</f>
        <v>46765</v>
      </c>
    </row>
    <row r="305" spans="1:4" hidden="1" x14ac:dyDescent="0.35">
      <c r="A305" s="1">
        <v>46764</v>
      </c>
      <c r="B305" s="2">
        <v>46296</v>
      </c>
      <c r="C305" s="1" t="s">
        <v>10</v>
      </c>
      <c r="D305" s="1">
        <f>IFERROR(VLOOKUP(RIT_FUSIONS[[#This Row],[ID]],RIT_ACUM!A:A,1,0),"NOVO")</f>
        <v>46764</v>
      </c>
    </row>
    <row r="306" spans="1:4" hidden="1" x14ac:dyDescent="0.35">
      <c r="A306" s="1">
        <v>46763</v>
      </c>
      <c r="B306" s="2">
        <v>46296</v>
      </c>
      <c r="C306" s="1" t="s">
        <v>10</v>
      </c>
      <c r="D306" s="1">
        <f>IFERROR(VLOOKUP(RIT_FUSIONS[[#This Row],[ID]],RIT_ACUM!A:A,1,0),"NOVO")</f>
        <v>46763</v>
      </c>
    </row>
    <row r="307" spans="1:4" hidden="1" x14ac:dyDescent="0.35">
      <c r="A307" s="1">
        <v>46762</v>
      </c>
      <c r="B307" s="2">
        <v>46296</v>
      </c>
      <c r="C307" s="1" t="s">
        <v>19</v>
      </c>
      <c r="D307" s="1">
        <f>IFERROR(VLOOKUP(RIT_FUSIONS[[#This Row],[ID]],RIT_ACUM!A:A,1,0),"NOVO")</f>
        <v>46762</v>
      </c>
    </row>
    <row r="308" spans="1:4" hidden="1" x14ac:dyDescent="0.35">
      <c r="A308" s="1">
        <v>46760</v>
      </c>
      <c r="B308" s="2">
        <v>46296</v>
      </c>
      <c r="C308" s="1" t="s">
        <v>7</v>
      </c>
      <c r="D308" s="1">
        <f>IFERROR(VLOOKUP(RIT_FUSIONS[[#This Row],[ID]],RIT_ACUM!A:A,1,0),"NOVO")</f>
        <v>46760</v>
      </c>
    </row>
    <row r="309" spans="1:4" hidden="1" x14ac:dyDescent="0.35">
      <c r="A309" s="1">
        <v>46759</v>
      </c>
      <c r="B309" s="2">
        <v>46296</v>
      </c>
      <c r="C309" s="1" t="s">
        <v>9</v>
      </c>
      <c r="D309" s="1">
        <f>IFERROR(VLOOKUP(RIT_FUSIONS[[#This Row],[ID]],RIT_ACUM!A:A,1,0),"NOVO")</f>
        <v>46759</v>
      </c>
    </row>
    <row r="310" spans="1:4" hidden="1" x14ac:dyDescent="0.35">
      <c r="A310" s="1">
        <v>46758</v>
      </c>
      <c r="B310" s="2">
        <v>46296</v>
      </c>
      <c r="C310" s="1" t="s">
        <v>19</v>
      </c>
      <c r="D310" s="1">
        <f>IFERROR(VLOOKUP(RIT_FUSIONS[[#This Row],[ID]],RIT_ACUM!A:A,1,0),"NOVO")</f>
        <v>46758</v>
      </c>
    </row>
    <row r="311" spans="1:4" hidden="1" x14ac:dyDescent="0.35">
      <c r="A311" s="1">
        <v>46757</v>
      </c>
      <c r="B311" s="2">
        <v>46296</v>
      </c>
      <c r="C311" s="1" t="s">
        <v>19</v>
      </c>
      <c r="D311" s="1">
        <f>IFERROR(VLOOKUP(RIT_FUSIONS[[#This Row],[ID]],RIT_ACUM!A:A,1,0),"NOVO")</f>
        <v>46757</v>
      </c>
    </row>
    <row r="312" spans="1:4" hidden="1" x14ac:dyDescent="0.35">
      <c r="A312" s="1">
        <v>46755</v>
      </c>
      <c r="B312" s="2">
        <v>46296</v>
      </c>
      <c r="C312" s="1" t="s">
        <v>8</v>
      </c>
      <c r="D312" s="1">
        <f>IFERROR(VLOOKUP(RIT_FUSIONS[[#This Row],[ID]],RIT_ACUM!A:A,1,0),"NOVO")</f>
        <v>46755</v>
      </c>
    </row>
    <row r="313" spans="1:4" hidden="1" x14ac:dyDescent="0.35">
      <c r="A313" s="1">
        <v>46754</v>
      </c>
      <c r="B313" s="2">
        <v>46296</v>
      </c>
      <c r="C313" s="1" t="s">
        <v>8</v>
      </c>
      <c r="D313" s="1">
        <f>IFERROR(VLOOKUP(RIT_FUSIONS[[#This Row],[ID]],RIT_ACUM!A:A,1,0),"NOVO")</f>
        <v>46754</v>
      </c>
    </row>
    <row r="314" spans="1:4" hidden="1" x14ac:dyDescent="0.35">
      <c r="A314" s="1">
        <v>46752</v>
      </c>
      <c r="B314" s="2">
        <v>46295</v>
      </c>
      <c r="C314" s="1" t="s">
        <v>10</v>
      </c>
      <c r="D314" s="1">
        <f>IFERROR(VLOOKUP(RIT_FUSIONS[[#This Row],[ID]],RIT_ACUM!A:A,1,0),"NOVO")</f>
        <v>46752</v>
      </c>
    </row>
    <row r="315" spans="1:4" hidden="1" x14ac:dyDescent="0.35">
      <c r="A315" s="1">
        <v>46751</v>
      </c>
      <c r="B315" s="2">
        <v>46295</v>
      </c>
      <c r="C315" s="1" t="s">
        <v>10</v>
      </c>
      <c r="D315" s="1">
        <f>IFERROR(VLOOKUP(RIT_FUSIONS[[#This Row],[ID]],RIT_ACUM!A:A,1,0),"NOVO")</f>
        <v>46751</v>
      </c>
    </row>
    <row r="316" spans="1:4" hidden="1" x14ac:dyDescent="0.35">
      <c r="A316" s="1">
        <v>46747</v>
      </c>
      <c r="B316" s="2">
        <v>46295</v>
      </c>
      <c r="C316" s="1" t="s">
        <v>7</v>
      </c>
      <c r="D316" s="1">
        <f>IFERROR(VLOOKUP(RIT_FUSIONS[[#This Row],[ID]],RIT_ACUM!A:A,1,0),"NOVO")</f>
        <v>46747</v>
      </c>
    </row>
    <row r="317" spans="1:4" hidden="1" x14ac:dyDescent="0.35">
      <c r="A317" s="1">
        <v>46735</v>
      </c>
      <c r="B317" s="2">
        <v>46295</v>
      </c>
      <c r="C317" s="1" t="s">
        <v>19</v>
      </c>
      <c r="D317" s="1">
        <f>IFERROR(VLOOKUP(RIT_FUSIONS[[#This Row],[ID]],RIT_ACUM!A:A,1,0),"NOVO")</f>
        <v>46735</v>
      </c>
    </row>
    <row r="318" spans="1:4" hidden="1" x14ac:dyDescent="0.35">
      <c r="A318" s="1">
        <v>46734</v>
      </c>
      <c r="B318" s="2">
        <v>46295</v>
      </c>
      <c r="C318" s="1" t="s">
        <v>3</v>
      </c>
      <c r="D318" s="1">
        <f>IFERROR(VLOOKUP(RIT_FUSIONS[[#This Row],[ID]],RIT_ACUM!A:A,1,0),"NOVO")</f>
        <v>46734</v>
      </c>
    </row>
    <row r="319" spans="1:4" hidden="1" x14ac:dyDescent="0.35">
      <c r="A319" s="1">
        <v>46732</v>
      </c>
      <c r="B319" s="2">
        <v>46295</v>
      </c>
      <c r="C319" s="1" t="s">
        <v>6</v>
      </c>
      <c r="D319" s="1">
        <f>IFERROR(VLOOKUP(RIT_FUSIONS[[#This Row],[ID]],RIT_ACUM!A:A,1,0),"NOVO")</f>
        <v>46732</v>
      </c>
    </row>
    <row r="320" spans="1:4" hidden="1" x14ac:dyDescent="0.35">
      <c r="A320" s="1">
        <v>46731</v>
      </c>
      <c r="B320" s="2">
        <v>46295</v>
      </c>
      <c r="C320" s="1" t="s">
        <v>6</v>
      </c>
      <c r="D320" s="1">
        <f>IFERROR(VLOOKUP(RIT_FUSIONS[[#This Row],[ID]],RIT_ACUM!A:A,1,0),"NOVO")</f>
        <v>46731</v>
      </c>
    </row>
    <row r="321" spans="1:4" hidden="1" x14ac:dyDescent="0.35">
      <c r="A321" s="1">
        <v>46730</v>
      </c>
      <c r="B321" s="2">
        <v>46295</v>
      </c>
      <c r="C321" s="1" t="s">
        <v>7</v>
      </c>
      <c r="D321" s="1">
        <f>IFERROR(VLOOKUP(RIT_FUSIONS[[#This Row],[ID]],RIT_ACUM!A:A,1,0),"NOVO")</f>
        <v>46730</v>
      </c>
    </row>
    <row r="322" spans="1:4" hidden="1" x14ac:dyDescent="0.35">
      <c r="A322" s="1">
        <v>46729</v>
      </c>
      <c r="B322" s="2">
        <v>46295</v>
      </c>
      <c r="C322" s="1" t="s">
        <v>22</v>
      </c>
      <c r="D322" s="1">
        <f>IFERROR(VLOOKUP(RIT_FUSIONS[[#This Row],[ID]],RIT_ACUM!A:A,1,0),"NOVO")</f>
        <v>46729</v>
      </c>
    </row>
    <row r="323" spans="1:4" hidden="1" x14ac:dyDescent="0.35">
      <c r="A323" s="1">
        <v>46728</v>
      </c>
      <c r="B323" s="2">
        <v>46295</v>
      </c>
      <c r="C323" s="1" t="s">
        <v>22</v>
      </c>
      <c r="D323" s="1">
        <f>IFERROR(VLOOKUP(RIT_FUSIONS[[#This Row],[ID]],RIT_ACUM!A:A,1,0),"NOVO")</f>
        <v>46728</v>
      </c>
    </row>
    <row r="324" spans="1:4" hidden="1" x14ac:dyDescent="0.35">
      <c r="A324" s="1">
        <v>46727</v>
      </c>
      <c r="B324" s="2">
        <v>46295</v>
      </c>
      <c r="C324" s="1" t="s">
        <v>22</v>
      </c>
      <c r="D324" s="1">
        <f>IFERROR(VLOOKUP(RIT_FUSIONS[[#This Row],[ID]],RIT_ACUM!A:A,1,0),"NOVO")</f>
        <v>46727</v>
      </c>
    </row>
    <row r="325" spans="1:4" hidden="1" x14ac:dyDescent="0.35">
      <c r="A325" s="1">
        <v>46726</v>
      </c>
      <c r="B325" s="2">
        <v>46295</v>
      </c>
      <c r="C325" s="1" t="s">
        <v>22</v>
      </c>
      <c r="D325" s="1">
        <f>IFERROR(VLOOKUP(RIT_FUSIONS[[#This Row],[ID]],RIT_ACUM!A:A,1,0),"NOVO")</f>
        <v>46726</v>
      </c>
    </row>
    <row r="326" spans="1:4" hidden="1" x14ac:dyDescent="0.35">
      <c r="A326" s="1">
        <v>46725</v>
      </c>
      <c r="B326" s="2">
        <v>46295</v>
      </c>
      <c r="C326" s="1" t="s">
        <v>22</v>
      </c>
      <c r="D326" s="1">
        <f>IFERROR(VLOOKUP(RIT_FUSIONS[[#This Row],[ID]],RIT_ACUM!A:A,1,0),"NOVO")</f>
        <v>46725</v>
      </c>
    </row>
    <row r="327" spans="1:4" hidden="1" x14ac:dyDescent="0.35">
      <c r="A327" s="1">
        <v>46724</v>
      </c>
      <c r="B327" s="2">
        <v>46295</v>
      </c>
      <c r="C327" s="1" t="s">
        <v>22</v>
      </c>
      <c r="D327" s="1">
        <f>IFERROR(VLOOKUP(RIT_FUSIONS[[#This Row],[ID]],RIT_ACUM!A:A,1,0),"NOVO")</f>
        <v>46724</v>
      </c>
    </row>
    <row r="328" spans="1:4" hidden="1" x14ac:dyDescent="0.35">
      <c r="A328" s="1">
        <v>46723</v>
      </c>
      <c r="B328" s="2">
        <v>46295</v>
      </c>
      <c r="C328" s="1" t="s">
        <v>22</v>
      </c>
      <c r="D328" s="1">
        <f>IFERROR(VLOOKUP(RIT_FUSIONS[[#This Row],[ID]],RIT_ACUM!A:A,1,0),"NOVO")</f>
        <v>46723</v>
      </c>
    </row>
    <row r="329" spans="1:4" hidden="1" x14ac:dyDescent="0.35">
      <c r="A329" s="1">
        <v>46722</v>
      </c>
      <c r="B329" s="2">
        <v>46295</v>
      </c>
      <c r="C329" s="1" t="s">
        <v>22</v>
      </c>
      <c r="D329" s="1">
        <f>IFERROR(VLOOKUP(RIT_FUSIONS[[#This Row],[ID]],RIT_ACUM!A:A,1,0),"NOVO")</f>
        <v>46722</v>
      </c>
    </row>
    <row r="330" spans="1:4" hidden="1" x14ac:dyDescent="0.35">
      <c r="A330" s="1">
        <v>46720</v>
      </c>
      <c r="B330" s="2">
        <v>46295</v>
      </c>
      <c r="C330" s="1" t="s">
        <v>8</v>
      </c>
      <c r="D330" s="1">
        <f>IFERROR(VLOOKUP(RIT_FUSIONS[[#This Row],[ID]],RIT_ACUM!A:A,1,0),"NOVO")</f>
        <v>46720</v>
      </c>
    </row>
    <row r="331" spans="1:4" hidden="1" x14ac:dyDescent="0.35">
      <c r="A331" s="1">
        <v>46719</v>
      </c>
      <c r="B331" s="2">
        <v>46295</v>
      </c>
      <c r="C331" s="1" t="s">
        <v>8</v>
      </c>
      <c r="D331" s="1">
        <f>IFERROR(VLOOKUP(RIT_FUSIONS[[#This Row],[ID]],RIT_ACUM!A:A,1,0),"NOVO")</f>
        <v>46719</v>
      </c>
    </row>
    <row r="332" spans="1:4" hidden="1" x14ac:dyDescent="0.35">
      <c r="A332" s="1">
        <v>46718</v>
      </c>
      <c r="B332" s="2">
        <v>46295</v>
      </c>
      <c r="C332" s="1" t="s">
        <v>19</v>
      </c>
      <c r="D332" s="1">
        <f>IFERROR(VLOOKUP(RIT_FUSIONS[[#This Row],[ID]],RIT_ACUM!A:A,1,0),"NOVO")</f>
        <v>46718</v>
      </c>
    </row>
    <row r="333" spans="1:4" hidden="1" x14ac:dyDescent="0.35">
      <c r="A333" s="1">
        <v>46717</v>
      </c>
      <c r="B333" s="2">
        <v>46295</v>
      </c>
      <c r="C333" s="1" t="s">
        <v>19</v>
      </c>
      <c r="D333" s="1">
        <f>IFERROR(VLOOKUP(RIT_FUSIONS[[#This Row],[ID]],RIT_ACUM!A:A,1,0),"NOVO")</f>
        <v>46717</v>
      </c>
    </row>
    <row r="334" spans="1:4" hidden="1" x14ac:dyDescent="0.35">
      <c r="A334" s="1">
        <v>46715</v>
      </c>
      <c r="B334" s="2">
        <v>46294</v>
      </c>
      <c r="C334" s="1" t="s">
        <v>9</v>
      </c>
      <c r="D334" s="1">
        <f>IFERROR(VLOOKUP(RIT_FUSIONS[[#This Row],[ID]],RIT_ACUM!A:A,1,0),"NOVO")</f>
        <v>46715</v>
      </c>
    </row>
    <row r="335" spans="1:4" hidden="1" x14ac:dyDescent="0.35">
      <c r="A335" s="1">
        <v>46714</v>
      </c>
      <c r="B335" s="2">
        <v>46294</v>
      </c>
      <c r="C335" s="1" t="s">
        <v>9</v>
      </c>
      <c r="D335" s="1">
        <f>IFERROR(VLOOKUP(RIT_FUSIONS[[#This Row],[ID]],RIT_ACUM!A:A,1,0),"NOVO")</f>
        <v>46714</v>
      </c>
    </row>
    <row r="336" spans="1:4" hidden="1" x14ac:dyDescent="0.35">
      <c r="A336" s="1">
        <v>46713</v>
      </c>
      <c r="B336" s="2">
        <v>46294</v>
      </c>
      <c r="C336" s="1" t="s">
        <v>9</v>
      </c>
      <c r="D336" s="1">
        <f>IFERROR(VLOOKUP(RIT_FUSIONS[[#This Row],[ID]],RIT_ACUM!A:A,1,0),"NOVO")</f>
        <v>46713</v>
      </c>
    </row>
    <row r="337" spans="1:4" hidden="1" x14ac:dyDescent="0.35">
      <c r="A337" s="1">
        <v>46712</v>
      </c>
      <c r="B337" s="2">
        <v>46294</v>
      </c>
      <c r="C337" s="1" t="s">
        <v>10</v>
      </c>
      <c r="D337" s="1">
        <f>IFERROR(VLOOKUP(RIT_FUSIONS[[#This Row],[ID]],RIT_ACUM!A:A,1,0),"NOVO")</f>
        <v>46712</v>
      </c>
    </row>
    <row r="338" spans="1:4" hidden="1" x14ac:dyDescent="0.35">
      <c r="A338" s="1">
        <v>46711</v>
      </c>
      <c r="B338" s="2">
        <v>46294</v>
      </c>
      <c r="C338" s="1" t="s">
        <v>10</v>
      </c>
      <c r="D338" s="1">
        <f>IFERROR(VLOOKUP(RIT_FUSIONS[[#This Row],[ID]],RIT_ACUM!A:A,1,0),"NOVO")</f>
        <v>46711</v>
      </c>
    </row>
    <row r="339" spans="1:4" hidden="1" x14ac:dyDescent="0.35">
      <c r="A339" s="1">
        <v>46710</v>
      </c>
      <c r="B339" s="2">
        <v>46294</v>
      </c>
      <c r="C339" s="1" t="s">
        <v>103</v>
      </c>
      <c r="D339" s="1">
        <f>IFERROR(VLOOKUP(RIT_FUSIONS[[#This Row],[ID]],RIT_ACUM!A:A,1,0),"NOVO")</f>
        <v>46710</v>
      </c>
    </row>
    <row r="340" spans="1:4" hidden="1" x14ac:dyDescent="0.35">
      <c r="A340" s="1">
        <v>46709</v>
      </c>
      <c r="B340" s="2">
        <v>46294</v>
      </c>
      <c r="C340" s="1" t="s">
        <v>103</v>
      </c>
      <c r="D340" s="1">
        <f>IFERROR(VLOOKUP(RIT_FUSIONS[[#This Row],[ID]],RIT_ACUM!A:A,1,0),"NOVO")</f>
        <v>46709</v>
      </c>
    </row>
    <row r="341" spans="1:4" hidden="1" x14ac:dyDescent="0.35">
      <c r="A341" s="1">
        <v>46708</v>
      </c>
      <c r="B341" s="2">
        <v>46294</v>
      </c>
      <c r="C341" s="1" t="s">
        <v>3</v>
      </c>
      <c r="D341" s="1">
        <f>IFERROR(VLOOKUP(RIT_FUSIONS[[#This Row],[ID]],RIT_ACUM!A:A,1,0),"NOVO")</f>
        <v>46708</v>
      </c>
    </row>
    <row r="342" spans="1:4" hidden="1" x14ac:dyDescent="0.35">
      <c r="A342" s="1">
        <v>46707</v>
      </c>
      <c r="B342" s="2">
        <v>46294</v>
      </c>
      <c r="C342" s="1" t="s">
        <v>3</v>
      </c>
      <c r="D342" s="1">
        <f>IFERROR(VLOOKUP(RIT_FUSIONS[[#This Row],[ID]],RIT_ACUM!A:A,1,0),"NOVO")</f>
        <v>46707</v>
      </c>
    </row>
    <row r="343" spans="1:4" hidden="1" x14ac:dyDescent="0.35">
      <c r="A343" s="1">
        <v>46706</v>
      </c>
      <c r="B343" s="2">
        <v>46294</v>
      </c>
      <c r="C343" s="1" t="s">
        <v>3</v>
      </c>
      <c r="D343" s="1">
        <f>IFERROR(VLOOKUP(RIT_FUSIONS[[#This Row],[ID]],RIT_ACUM!A:A,1,0),"NOVO")</f>
        <v>46706</v>
      </c>
    </row>
    <row r="344" spans="1:4" hidden="1" x14ac:dyDescent="0.35">
      <c r="A344" s="1">
        <v>46700</v>
      </c>
      <c r="B344" s="2">
        <v>46294</v>
      </c>
      <c r="C344" s="1" t="s">
        <v>7</v>
      </c>
      <c r="D344" s="1">
        <f>IFERROR(VLOOKUP(RIT_FUSIONS[[#This Row],[ID]],RIT_ACUM!A:A,1,0),"NOVO")</f>
        <v>46700</v>
      </c>
    </row>
    <row r="345" spans="1:4" hidden="1" x14ac:dyDescent="0.35">
      <c r="A345" s="1">
        <v>46697</v>
      </c>
      <c r="B345" s="2">
        <v>46294</v>
      </c>
      <c r="C345" s="1" t="s">
        <v>7</v>
      </c>
      <c r="D345" s="1">
        <f>IFERROR(VLOOKUP(RIT_FUSIONS[[#This Row],[ID]],RIT_ACUM!A:A,1,0),"NOVO")</f>
        <v>46697</v>
      </c>
    </row>
    <row r="346" spans="1:4" hidden="1" x14ac:dyDescent="0.35">
      <c r="A346" s="1">
        <v>46696</v>
      </c>
      <c r="B346" s="2">
        <v>46294</v>
      </c>
      <c r="C346" s="1" t="s">
        <v>3</v>
      </c>
      <c r="D346" s="1">
        <f>IFERROR(VLOOKUP(RIT_FUSIONS[[#This Row],[ID]],RIT_ACUM!A:A,1,0),"NOVO")</f>
        <v>46696</v>
      </c>
    </row>
    <row r="347" spans="1:4" hidden="1" x14ac:dyDescent="0.35">
      <c r="A347" s="1">
        <v>46694</v>
      </c>
      <c r="B347" s="2">
        <v>46294</v>
      </c>
      <c r="C347" s="1" t="s">
        <v>3</v>
      </c>
      <c r="D347" s="1">
        <f>IFERROR(VLOOKUP(RIT_FUSIONS[[#This Row],[ID]],RIT_ACUM!A:A,1,0),"NOVO")</f>
        <v>46694</v>
      </c>
    </row>
    <row r="348" spans="1:4" hidden="1" x14ac:dyDescent="0.35">
      <c r="A348" s="1">
        <v>46693</v>
      </c>
      <c r="B348" s="2">
        <v>46294</v>
      </c>
      <c r="C348" s="1" t="s">
        <v>3</v>
      </c>
      <c r="D348" s="1">
        <f>IFERROR(VLOOKUP(RIT_FUSIONS[[#This Row],[ID]],RIT_ACUM!A:A,1,0),"NOVO")</f>
        <v>46693</v>
      </c>
    </row>
    <row r="349" spans="1:4" hidden="1" x14ac:dyDescent="0.35">
      <c r="A349" s="1">
        <v>46692</v>
      </c>
      <c r="B349" s="2">
        <v>46294</v>
      </c>
      <c r="C349" s="1" t="s">
        <v>3</v>
      </c>
      <c r="D349" s="1">
        <f>IFERROR(VLOOKUP(RIT_FUSIONS[[#This Row],[ID]],RIT_ACUM!A:A,1,0),"NOVO")</f>
        <v>46692</v>
      </c>
    </row>
    <row r="350" spans="1:4" hidden="1" x14ac:dyDescent="0.35">
      <c r="A350" s="1">
        <v>46691</v>
      </c>
      <c r="B350" s="2">
        <v>46294</v>
      </c>
      <c r="C350" s="1" t="s">
        <v>8</v>
      </c>
      <c r="D350" s="1">
        <f>IFERROR(VLOOKUP(RIT_FUSIONS[[#This Row],[ID]],RIT_ACUM!A:A,1,0),"NOVO")</f>
        <v>46691</v>
      </c>
    </row>
    <row r="351" spans="1:4" hidden="1" x14ac:dyDescent="0.35">
      <c r="A351" s="1">
        <v>46690</v>
      </c>
      <c r="B351" s="2">
        <v>46294</v>
      </c>
      <c r="C351" s="1" t="s">
        <v>8</v>
      </c>
      <c r="D351" s="1">
        <f>IFERROR(VLOOKUP(RIT_FUSIONS[[#This Row],[ID]],RIT_ACUM!A:A,1,0),"NOVO")</f>
        <v>46690</v>
      </c>
    </row>
    <row r="352" spans="1:4" hidden="1" x14ac:dyDescent="0.35">
      <c r="A352" s="1">
        <v>46689</v>
      </c>
      <c r="B352" s="2">
        <v>46294</v>
      </c>
      <c r="C352" s="1" t="s">
        <v>3</v>
      </c>
      <c r="D352" s="1">
        <f>IFERROR(VLOOKUP(RIT_FUSIONS[[#This Row],[ID]],RIT_ACUM!A:A,1,0),"NOVO")</f>
        <v>46689</v>
      </c>
    </row>
    <row r="353" spans="1:4" hidden="1" x14ac:dyDescent="0.35">
      <c r="A353" s="1">
        <v>46688</v>
      </c>
      <c r="B353" s="2">
        <v>46293</v>
      </c>
      <c r="C353" s="1" t="s">
        <v>10</v>
      </c>
      <c r="D353" s="1">
        <f>IFERROR(VLOOKUP(RIT_FUSIONS[[#This Row],[ID]],RIT_ACUM!A:A,1,0),"NOVO")</f>
        <v>46688</v>
      </c>
    </row>
    <row r="354" spans="1:4" hidden="1" x14ac:dyDescent="0.35">
      <c r="A354" s="1">
        <v>46687</v>
      </c>
      <c r="B354" s="2">
        <v>46293</v>
      </c>
      <c r="C354" s="1" t="s">
        <v>10</v>
      </c>
      <c r="D354" s="1">
        <f>IFERROR(VLOOKUP(RIT_FUSIONS[[#This Row],[ID]],RIT_ACUM!A:A,1,0),"NOVO")</f>
        <v>46687</v>
      </c>
    </row>
    <row r="355" spans="1:4" hidden="1" x14ac:dyDescent="0.35">
      <c r="A355" s="1">
        <v>46676</v>
      </c>
      <c r="B355" s="2">
        <v>46293</v>
      </c>
      <c r="C355" s="1" t="s">
        <v>9</v>
      </c>
      <c r="D355" s="1">
        <f>IFERROR(VLOOKUP(RIT_FUSIONS[[#This Row],[ID]],RIT_ACUM!A:A,1,0),"NOVO")</f>
        <v>46676</v>
      </c>
    </row>
    <row r="356" spans="1:4" hidden="1" x14ac:dyDescent="0.35">
      <c r="A356" s="1">
        <v>46675</v>
      </c>
      <c r="B356" s="2">
        <v>46293</v>
      </c>
      <c r="C356" s="1" t="s">
        <v>9</v>
      </c>
      <c r="D356" s="1">
        <f>IFERROR(VLOOKUP(RIT_FUSIONS[[#This Row],[ID]],RIT_ACUM!A:A,1,0),"NOVO")</f>
        <v>46675</v>
      </c>
    </row>
    <row r="357" spans="1:4" hidden="1" x14ac:dyDescent="0.35">
      <c r="A357" s="1">
        <v>46674</v>
      </c>
      <c r="B357" s="2">
        <v>46293</v>
      </c>
      <c r="C357" s="1" t="s">
        <v>19</v>
      </c>
      <c r="D357" s="1">
        <f>IFERROR(VLOOKUP(RIT_FUSIONS[[#This Row],[ID]],RIT_ACUM!A:A,1,0),"NOVO")</f>
        <v>46674</v>
      </c>
    </row>
    <row r="358" spans="1:4" hidden="1" x14ac:dyDescent="0.35">
      <c r="A358" s="1">
        <v>46673</v>
      </c>
      <c r="B358" s="2">
        <v>46293</v>
      </c>
      <c r="C358" s="1" t="s">
        <v>19</v>
      </c>
      <c r="D358" s="1">
        <f>IFERROR(VLOOKUP(RIT_FUSIONS[[#This Row],[ID]],RIT_ACUM!A:A,1,0),"NOVO")</f>
        <v>46673</v>
      </c>
    </row>
    <row r="359" spans="1:4" hidden="1" x14ac:dyDescent="0.35">
      <c r="A359" s="1">
        <v>46672</v>
      </c>
      <c r="B359" s="2">
        <v>46293</v>
      </c>
      <c r="C359" s="1" t="s">
        <v>19</v>
      </c>
      <c r="D359" s="1">
        <f>IFERROR(VLOOKUP(RIT_FUSIONS[[#This Row],[ID]],RIT_ACUM!A:A,1,0),"NOVO")</f>
        <v>46672</v>
      </c>
    </row>
    <row r="360" spans="1:4" hidden="1" x14ac:dyDescent="0.35">
      <c r="A360" s="1">
        <v>46671</v>
      </c>
      <c r="B360" s="2">
        <v>46293</v>
      </c>
      <c r="C360" s="1" t="s">
        <v>19</v>
      </c>
      <c r="D360" s="1">
        <f>IFERROR(VLOOKUP(RIT_FUSIONS[[#This Row],[ID]],RIT_ACUM!A:A,1,0),"NOVO")</f>
        <v>46671</v>
      </c>
    </row>
    <row r="361" spans="1:4" hidden="1" x14ac:dyDescent="0.35">
      <c r="A361" s="1">
        <v>46665</v>
      </c>
      <c r="B361" s="2">
        <v>46293</v>
      </c>
      <c r="C361" s="1" t="s">
        <v>23</v>
      </c>
      <c r="D361" s="1">
        <f>IFERROR(VLOOKUP(RIT_FUSIONS[[#This Row],[ID]],RIT_ACUM!A:A,1,0),"NOVO")</f>
        <v>46665</v>
      </c>
    </row>
    <row r="362" spans="1:4" hidden="1" x14ac:dyDescent="0.35">
      <c r="A362" s="1">
        <v>46664</v>
      </c>
      <c r="B362" s="2">
        <v>46293</v>
      </c>
      <c r="C362" s="1" t="s">
        <v>23</v>
      </c>
      <c r="D362" s="1">
        <f>IFERROR(VLOOKUP(RIT_FUSIONS[[#This Row],[ID]],RIT_ACUM!A:A,1,0),"NOVO")</f>
        <v>46664</v>
      </c>
    </row>
    <row r="363" spans="1:4" hidden="1" x14ac:dyDescent="0.35">
      <c r="A363" s="1">
        <v>46663</v>
      </c>
      <c r="B363" s="2">
        <v>46293</v>
      </c>
      <c r="C363" s="1" t="s">
        <v>24</v>
      </c>
      <c r="D363" s="1">
        <f>IFERROR(VLOOKUP(RIT_FUSIONS[[#This Row],[ID]],RIT_ACUM!A:A,1,0),"NOVO")</f>
        <v>46663</v>
      </c>
    </row>
    <row r="364" spans="1:4" hidden="1" x14ac:dyDescent="0.35">
      <c r="A364" s="1">
        <v>46662</v>
      </c>
      <c r="B364" s="2">
        <v>46293</v>
      </c>
      <c r="C364" s="1" t="s">
        <v>24</v>
      </c>
      <c r="D364" s="1">
        <f>IFERROR(VLOOKUP(RIT_FUSIONS[[#This Row],[ID]],RIT_ACUM!A:A,1,0),"NOVO")</f>
        <v>46662</v>
      </c>
    </row>
    <row r="365" spans="1:4" hidden="1" x14ac:dyDescent="0.35">
      <c r="A365" s="1">
        <v>46661</v>
      </c>
      <c r="B365" s="2">
        <v>46293</v>
      </c>
      <c r="C365" s="1" t="s">
        <v>9</v>
      </c>
      <c r="D365" s="1">
        <f>IFERROR(VLOOKUP(RIT_FUSIONS[[#This Row],[ID]],RIT_ACUM!A:A,1,0),"NOVO")</f>
        <v>46661</v>
      </c>
    </row>
    <row r="366" spans="1:4" hidden="1" x14ac:dyDescent="0.35">
      <c r="A366" s="1">
        <v>46660</v>
      </c>
      <c r="B366" s="2">
        <v>46293</v>
      </c>
      <c r="C366" s="1" t="s">
        <v>24</v>
      </c>
      <c r="D366" s="1">
        <f>IFERROR(VLOOKUP(RIT_FUSIONS[[#This Row],[ID]],RIT_ACUM!A:A,1,0),"NOVO")</f>
        <v>46660</v>
      </c>
    </row>
    <row r="367" spans="1:4" hidden="1" x14ac:dyDescent="0.35">
      <c r="A367" s="1">
        <v>46659</v>
      </c>
      <c r="B367" s="2">
        <v>46293</v>
      </c>
      <c r="C367" s="1" t="s">
        <v>24</v>
      </c>
      <c r="D367" s="1">
        <f>IFERROR(VLOOKUP(RIT_FUSIONS[[#This Row],[ID]],RIT_ACUM!A:A,1,0),"NOVO")</f>
        <v>46659</v>
      </c>
    </row>
    <row r="368" spans="1:4" hidden="1" x14ac:dyDescent="0.35">
      <c r="A368" s="1">
        <v>46658</v>
      </c>
      <c r="B368" s="2">
        <v>46293</v>
      </c>
      <c r="C368" s="1" t="s">
        <v>24</v>
      </c>
      <c r="D368" s="1">
        <f>IFERROR(VLOOKUP(RIT_FUSIONS[[#This Row],[ID]],RIT_ACUM!A:A,1,0),"NOVO")</f>
        <v>46658</v>
      </c>
    </row>
    <row r="369" spans="1:4" hidden="1" x14ac:dyDescent="0.35">
      <c r="A369" s="1">
        <v>46657</v>
      </c>
      <c r="B369" s="2">
        <v>46293</v>
      </c>
      <c r="C369" s="1" t="s">
        <v>24</v>
      </c>
      <c r="D369" s="1">
        <f>IFERROR(VLOOKUP(RIT_FUSIONS[[#This Row],[ID]],RIT_ACUM!A:A,1,0),"NOVO")</f>
        <v>46657</v>
      </c>
    </row>
    <row r="370" spans="1:4" hidden="1" x14ac:dyDescent="0.35">
      <c r="A370" s="1">
        <v>46656</v>
      </c>
      <c r="B370" s="2">
        <v>46293</v>
      </c>
      <c r="C370" s="1" t="s">
        <v>103</v>
      </c>
      <c r="D370" s="1">
        <f>IFERROR(VLOOKUP(RIT_FUSIONS[[#This Row],[ID]],RIT_ACUM!A:A,1,0),"NOVO")</f>
        <v>46656</v>
      </c>
    </row>
    <row r="371" spans="1:4" hidden="1" x14ac:dyDescent="0.35">
      <c r="A371" s="1">
        <v>46655</v>
      </c>
      <c r="B371" s="2">
        <v>46293</v>
      </c>
      <c r="C371" s="1" t="s">
        <v>3</v>
      </c>
      <c r="D371" s="1">
        <f>IFERROR(VLOOKUP(RIT_FUSIONS[[#This Row],[ID]],RIT_ACUM!A:A,1,0),"NOVO")</f>
        <v>46655</v>
      </c>
    </row>
    <row r="372" spans="1:4" hidden="1" x14ac:dyDescent="0.35">
      <c r="A372" s="1">
        <v>46654</v>
      </c>
      <c r="B372" s="2">
        <v>46293</v>
      </c>
      <c r="C372" s="1" t="s">
        <v>103</v>
      </c>
      <c r="D372" s="1">
        <f>IFERROR(VLOOKUP(RIT_FUSIONS[[#This Row],[ID]],RIT_ACUM!A:A,1,0),"NOVO")</f>
        <v>46654</v>
      </c>
    </row>
    <row r="373" spans="1:4" hidden="1" x14ac:dyDescent="0.35">
      <c r="A373" s="1">
        <v>46653</v>
      </c>
      <c r="B373" s="2">
        <v>46293</v>
      </c>
      <c r="C373" s="1" t="s">
        <v>3</v>
      </c>
      <c r="D373" s="1">
        <f>IFERROR(VLOOKUP(RIT_FUSIONS[[#This Row],[ID]],RIT_ACUM!A:A,1,0),"NOVO")</f>
        <v>46653</v>
      </c>
    </row>
    <row r="374" spans="1:4" hidden="1" x14ac:dyDescent="0.35">
      <c r="A374" s="1">
        <v>46651</v>
      </c>
      <c r="B374" s="2">
        <v>46293</v>
      </c>
      <c r="C374" s="1" t="s">
        <v>3</v>
      </c>
      <c r="D374" s="1">
        <f>IFERROR(VLOOKUP(RIT_FUSIONS[[#This Row],[ID]],RIT_ACUM!A:A,1,0),"NOVO")</f>
        <v>46651</v>
      </c>
    </row>
    <row r="375" spans="1:4" hidden="1" x14ac:dyDescent="0.35">
      <c r="A375" s="1">
        <v>46650</v>
      </c>
      <c r="B375" s="2">
        <v>46293</v>
      </c>
      <c r="C375" s="1" t="s">
        <v>3</v>
      </c>
      <c r="D375" s="1">
        <f>IFERROR(VLOOKUP(RIT_FUSIONS[[#This Row],[ID]],RIT_ACUM!A:A,1,0),"NOVO")</f>
        <v>46650</v>
      </c>
    </row>
    <row r="376" spans="1:4" hidden="1" x14ac:dyDescent="0.35">
      <c r="A376" s="1">
        <v>46647</v>
      </c>
      <c r="B376" s="2">
        <v>46293</v>
      </c>
      <c r="C376" s="1" t="s">
        <v>7</v>
      </c>
      <c r="D376" s="1">
        <f>IFERROR(VLOOKUP(RIT_FUSIONS[[#This Row],[ID]],RIT_ACUM!A:A,1,0),"NOVO")</f>
        <v>46647</v>
      </c>
    </row>
    <row r="377" spans="1:4" hidden="1" x14ac:dyDescent="0.35">
      <c r="A377" s="1">
        <v>46646</v>
      </c>
      <c r="B377" s="2">
        <v>46293</v>
      </c>
      <c r="C377" s="1" t="s">
        <v>6</v>
      </c>
      <c r="D377" s="1">
        <f>IFERROR(VLOOKUP(RIT_FUSIONS[[#This Row],[ID]],RIT_ACUM!A:A,1,0),"NOVO")</f>
        <v>46646</v>
      </c>
    </row>
    <row r="378" spans="1:4" hidden="1" x14ac:dyDescent="0.35">
      <c r="A378" s="1">
        <v>46645</v>
      </c>
      <c r="B378" s="2">
        <v>46293</v>
      </c>
      <c r="C378" s="1" t="s">
        <v>6</v>
      </c>
      <c r="D378" s="1">
        <f>IFERROR(VLOOKUP(RIT_FUSIONS[[#This Row],[ID]],RIT_ACUM!A:A,1,0),"NOVO")</f>
        <v>46645</v>
      </c>
    </row>
    <row r="379" spans="1:4" hidden="1" x14ac:dyDescent="0.35">
      <c r="A379" s="1">
        <v>46639</v>
      </c>
      <c r="B379" s="2">
        <v>46293</v>
      </c>
      <c r="C379" s="1" t="s">
        <v>8</v>
      </c>
      <c r="D379" s="1">
        <f>IFERROR(VLOOKUP(RIT_FUSIONS[[#This Row],[ID]],RIT_ACUM!A:A,1,0),"NOVO")</f>
        <v>46639</v>
      </c>
    </row>
    <row r="380" spans="1:4" hidden="1" x14ac:dyDescent="0.35">
      <c r="A380" s="1">
        <v>46638</v>
      </c>
      <c r="B380" s="2">
        <v>46293</v>
      </c>
      <c r="C380" s="1" t="s">
        <v>8</v>
      </c>
      <c r="D380" s="1">
        <f>IFERROR(VLOOKUP(RIT_FUSIONS[[#This Row],[ID]],RIT_ACUM!A:A,1,0),"NOVO")</f>
        <v>46638</v>
      </c>
    </row>
    <row r="381" spans="1:4" hidden="1" x14ac:dyDescent="0.35">
      <c r="A381" s="1">
        <v>46637</v>
      </c>
      <c r="B381" s="2">
        <v>46292</v>
      </c>
      <c r="C381" s="1" t="s">
        <v>17</v>
      </c>
      <c r="D381" s="1">
        <f>IFERROR(VLOOKUP(RIT_FUSIONS[[#This Row],[ID]],RIT_ACUM!A:A,1,0),"NOVO")</f>
        <v>46637</v>
      </c>
    </row>
    <row r="382" spans="1:4" hidden="1" x14ac:dyDescent="0.35">
      <c r="A382" s="1">
        <v>46636</v>
      </c>
      <c r="B382" s="2">
        <v>46292</v>
      </c>
      <c r="C382" s="1" t="s">
        <v>17</v>
      </c>
      <c r="D382" s="1">
        <f>IFERROR(VLOOKUP(RIT_FUSIONS[[#This Row],[ID]],RIT_ACUM!A:A,1,0),"NOVO")</f>
        <v>46636</v>
      </c>
    </row>
    <row r="383" spans="1:4" hidden="1" x14ac:dyDescent="0.35">
      <c r="A383" s="1">
        <v>46635</v>
      </c>
      <c r="B383" s="2">
        <v>46291</v>
      </c>
      <c r="C383" s="1" t="s">
        <v>10</v>
      </c>
      <c r="D383" s="1">
        <f>IFERROR(VLOOKUP(RIT_FUSIONS[[#This Row],[ID]],RIT_ACUM!A:A,1,0),"NOVO")</f>
        <v>46635</v>
      </c>
    </row>
    <row r="384" spans="1:4" hidden="1" x14ac:dyDescent="0.35">
      <c r="A384" s="1">
        <v>46634</v>
      </c>
      <c r="B384" s="2">
        <v>46291</v>
      </c>
      <c r="C384" s="1" t="s">
        <v>10</v>
      </c>
      <c r="D384" s="1">
        <f>IFERROR(VLOOKUP(RIT_FUSIONS[[#This Row],[ID]],RIT_ACUM!A:A,1,0),"NOVO")</f>
        <v>46634</v>
      </c>
    </row>
    <row r="385" spans="1:4" hidden="1" x14ac:dyDescent="0.35">
      <c r="A385" s="1">
        <v>46633</v>
      </c>
      <c r="B385" s="2">
        <v>46291</v>
      </c>
      <c r="C385" s="1" t="s">
        <v>6</v>
      </c>
      <c r="D385" s="1">
        <f>IFERROR(VLOOKUP(RIT_FUSIONS[[#This Row],[ID]],RIT_ACUM!A:A,1,0),"NOVO")</f>
        <v>46633</v>
      </c>
    </row>
    <row r="386" spans="1:4" hidden="1" x14ac:dyDescent="0.35">
      <c r="A386" s="1">
        <v>46632</v>
      </c>
      <c r="B386" s="2">
        <v>46291</v>
      </c>
      <c r="C386" s="1" t="s">
        <v>6</v>
      </c>
      <c r="D386" s="1">
        <f>IFERROR(VLOOKUP(RIT_FUSIONS[[#This Row],[ID]],RIT_ACUM!A:A,1,0),"NOVO")</f>
        <v>46632</v>
      </c>
    </row>
    <row r="387" spans="1:4" hidden="1" x14ac:dyDescent="0.35">
      <c r="A387" s="1">
        <v>46630</v>
      </c>
      <c r="B387" s="2">
        <v>46291</v>
      </c>
      <c r="C387" s="1" t="s">
        <v>8</v>
      </c>
      <c r="D387" s="1">
        <f>IFERROR(VLOOKUP(RIT_FUSIONS[[#This Row],[ID]],RIT_ACUM!A:A,1,0),"NOVO")</f>
        <v>46630</v>
      </c>
    </row>
    <row r="388" spans="1:4" hidden="1" x14ac:dyDescent="0.35">
      <c r="A388" s="1">
        <v>46629</v>
      </c>
      <c r="B388" s="2">
        <v>46291</v>
      </c>
      <c r="C388" s="1" t="s">
        <v>8</v>
      </c>
      <c r="D388" s="1">
        <f>IFERROR(VLOOKUP(RIT_FUSIONS[[#This Row],[ID]],RIT_ACUM!A:A,1,0),"NOVO")</f>
        <v>46629</v>
      </c>
    </row>
    <row r="389" spans="1:4" hidden="1" x14ac:dyDescent="0.35">
      <c r="A389" s="1">
        <v>46628</v>
      </c>
      <c r="B389" s="2">
        <v>46290</v>
      </c>
      <c r="C389" s="1" t="s">
        <v>17</v>
      </c>
      <c r="D389" s="1">
        <f>IFERROR(VLOOKUP(RIT_FUSIONS[[#This Row],[ID]],RIT_ACUM!A:A,1,0),"NOVO")</f>
        <v>46628</v>
      </c>
    </row>
    <row r="390" spans="1:4" hidden="1" x14ac:dyDescent="0.35">
      <c r="A390" s="1">
        <v>46627</v>
      </c>
      <c r="B390" s="2">
        <v>46290</v>
      </c>
      <c r="C390" s="1" t="s">
        <v>17</v>
      </c>
      <c r="D390" s="1">
        <f>IFERROR(VLOOKUP(RIT_FUSIONS[[#This Row],[ID]],RIT_ACUM!A:A,1,0),"NOVO")</f>
        <v>46627</v>
      </c>
    </row>
    <row r="391" spans="1:4" hidden="1" x14ac:dyDescent="0.35">
      <c r="A391" s="1">
        <v>46619</v>
      </c>
      <c r="B391" s="2">
        <v>46290</v>
      </c>
      <c r="C391" s="1" t="s">
        <v>10</v>
      </c>
      <c r="D391" s="1">
        <f>IFERROR(VLOOKUP(RIT_FUSIONS[[#This Row],[ID]],RIT_ACUM!A:A,1,0),"NOVO")</f>
        <v>46619</v>
      </c>
    </row>
    <row r="392" spans="1:4" hidden="1" x14ac:dyDescent="0.35">
      <c r="A392" s="1">
        <v>46618</v>
      </c>
      <c r="B392" s="2">
        <v>46290</v>
      </c>
      <c r="C392" s="1" t="s">
        <v>10</v>
      </c>
      <c r="D392" s="1">
        <f>IFERROR(VLOOKUP(RIT_FUSIONS[[#This Row],[ID]],RIT_ACUM!A:A,1,0),"NOVO")</f>
        <v>46618</v>
      </c>
    </row>
    <row r="393" spans="1:4" hidden="1" x14ac:dyDescent="0.35">
      <c r="A393" s="1">
        <v>46617</v>
      </c>
      <c r="B393" s="2">
        <v>46290</v>
      </c>
      <c r="C393" s="1" t="s">
        <v>6</v>
      </c>
      <c r="D393" s="1">
        <f>IFERROR(VLOOKUP(RIT_FUSIONS[[#This Row],[ID]],RIT_ACUM!A:A,1,0),"NOVO")</f>
        <v>46617</v>
      </c>
    </row>
    <row r="394" spans="1:4" hidden="1" x14ac:dyDescent="0.35">
      <c r="A394" s="1">
        <v>46616</v>
      </c>
      <c r="B394" s="2">
        <v>46290</v>
      </c>
      <c r="C394" s="1" t="s">
        <v>6</v>
      </c>
      <c r="D394" s="1">
        <f>IFERROR(VLOOKUP(RIT_FUSIONS[[#This Row],[ID]],RIT_ACUM!A:A,1,0),"NOVO")</f>
        <v>46616</v>
      </c>
    </row>
    <row r="395" spans="1:4" hidden="1" x14ac:dyDescent="0.35">
      <c r="A395" s="1">
        <v>46611</v>
      </c>
      <c r="B395" s="2">
        <v>46290</v>
      </c>
      <c r="C395" s="1" t="s">
        <v>5</v>
      </c>
      <c r="D395" s="1">
        <f>IFERROR(VLOOKUP(RIT_FUSIONS[[#This Row],[ID]],RIT_ACUM!A:A,1,0),"NOVO")</f>
        <v>46611</v>
      </c>
    </row>
    <row r="396" spans="1:4" hidden="1" x14ac:dyDescent="0.35">
      <c r="A396" s="1">
        <v>46610</v>
      </c>
      <c r="B396" s="2">
        <v>46290</v>
      </c>
      <c r="C396" s="1" t="s">
        <v>5</v>
      </c>
      <c r="D396" s="1">
        <f>IFERROR(VLOOKUP(RIT_FUSIONS[[#This Row],[ID]],RIT_ACUM!A:A,1,0),"NOVO")</f>
        <v>46610</v>
      </c>
    </row>
    <row r="397" spans="1:4" hidden="1" x14ac:dyDescent="0.35">
      <c r="A397" s="1">
        <v>46609</v>
      </c>
      <c r="B397" s="2">
        <v>46290</v>
      </c>
      <c r="C397" s="1" t="s">
        <v>5</v>
      </c>
      <c r="D397" s="1">
        <f>IFERROR(VLOOKUP(RIT_FUSIONS[[#This Row],[ID]],RIT_ACUM!A:A,1,0),"NOVO")</f>
        <v>46609</v>
      </c>
    </row>
    <row r="398" spans="1:4" hidden="1" x14ac:dyDescent="0.35">
      <c r="A398" s="1">
        <v>46607</v>
      </c>
      <c r="B398" s="2">
        <v>46290</v>
      </c>
      <c r="C398" s="1" t="s">
        <v>4</v>
      </c>
      <c r="D398" s="1">
        <f>IFERROR(VLOOKUP(RIT_FUSIONS[[#This Row],[ID]],RIT_ACUM!A:A,1,0),"NOVO")</f>
        <v>46607</v>
      </c>
    </row>
    <row r="399" spans="1:4" hidden="1" x14ac:dyDescent="0.35">
      <c r="A399" s="1">
        <v>46606</v>
      </c>
      <c r="B399" s="2">
        <v>46290</v>
      </c>
      <c r="C399" s="1" t="s">
        <v>4</v>
      </c>
      <c r="D399" s="1">
        <f>IFERROR(VLOOKUP(RIT_FUSIONS[[#This Row],[ID]],RIT_ACUM!A:A,1,0),"NOVO")</f>
        <v>46606</v>
      </c>
    </row>
    <row r="400" spans="1:4" hidden="1" x14ac:dyDescent="0.35">
      <c r="A400" s="1">
        <v>46604</v>
      </c>
      <c r="B400" s="2">
        <v>46290</v>
      </c>
      <c r="C400" s="1" t="s">
        <v>7</v>
      </c>
      <c r="D400" s="1">
        <f>IFERROR(VLOOKUP(RIT_FUSIONS[[#This Row],[ID]],RIT_ACUM!A:A,1,0),"NOVO")</f>
        <v>46604</v>
      </c>
    </row>
    <row r="401" spans="1:4" hidden="1" x14ac:dyDescent="0.35">
      <c r="A401" s="1">
        <v>46603</v>
      </c>
      <c r="B401" s="2">
        <v>46290</v>
      </c>
      <c r="C401" s="1" t="s">
        <v>7</v>
      </c>
      <c r="D401" s="1">
        <f>IFERROR(VLOOKUP(RIT_FUSIONS[[#This Row],[ID]],RIT_ACUM!A:A,1,0),"NOVO")</f>
        <v>46603</v>
      </c>
    </row>
    <row r="402" spans="1:4" hidden="1" x14ac:dyDescent="0.35">
      <c r="A402" s="1">
        <v>46602</v>
      </c>
      <c r="B402" s="2">
        <v>46290</v>
      </c>
      <c r="C402" s="1" t="s">
        <v>19</v>
      </c>
      <c r="D402" s="1">
        <f>IFERROR(VLOOKUP(RIT_FUSIONS[[#This Row],[ID]],RIT_ACUM!A:A,1,0),"NOVO")</f>
        <v>46602</v>
      </c>
    </row>
    <row r="403" spans="1:4" hidden="1" x14ac:dyDescent="0.35">
      <c r="A403" s="1">
        <v>46600</v>
      </c>
      <c r="B403" s="2">
        <v>46290</v>
      </c>
      <c r="C403" s="1" t="s">
        <v>9</v>
      </c>
      <c r="D403" s="1">
        <f>IFERROR(VLOOKUP(RIT_FUSIONS[[#This Row],[ID]],RIT_ACUM!A:A,1,0),"NOVO")</f>
        <v>46600</v>
      </c>
    </row>
    <row r="404" spans="1:4" hidden="1" x14ac:dyDescent="0.35">
      <c r="A404" s="1">
        <v>46599</v>
      </c>
      <c r="B404" s="2">
        <v>46290</v>
      </c>
      <c r="C404" s="1" t="s">
        <v>9</v>
      </c>
      <c r="D404" s="1">
        <f>IFERROR(VLOOKUP(RIT_FUSIONS[[#This Row],[ID]],RIT_ACUM!A:A,1,0),"NOVO")</f>
        <v>46599</v>
      </c>
    </row>
    <row r="405" spans="1:4" hidden="1" x14ac:dyDescent="0.35">
      <c r="A405" s="1">
        <v>46597</v>
      </c>
      <c r="B405" s="2">
        <v>46290</v>
      </c>
      <c r="C405" s="1" t="s">
        <v>24</v>
      </c>
      <c r="D405" s="1">
        <f>IFERROR(VLOOKUP(RIT_FUSIONS[[#This Row],[ID]],RIT_ACUM!A:A,1,0),"NOVO")</f>
        <v>46597</v>
      </c>
    </row>
    <row r="406" spans="1:4" hidden="1" x14ac:dyDescent="0.35">
      <c r="A406" s="1">
        <v>46596</v>
      </c>
      <c r="B406" s="2">
        <v>46290</v>
      </c>
      <c r="C406" s="1" t="s">
        <v>24</v>
      </c>
      <c r="D406" s="1">
        <f>IFERROR(VLOOKUP(RIT_FUSIONS[[#This Row],[ID]],RIT_ACUM!A:A,1,0),"NOVO")</f>
        <v>46596</v>
      </c>
    </row>
    <row r="407" spans="1:4" hidden="1" x14ac:dyDescent="0.35">
      <c r="A407" s="1">
        <v>46595</v>
      </c>
      <c r="B407" s="2">
        <v>46290</v>
      </c>
      <c r="C407" s="1" t="s">
        <v>24</v>
      </c>
      <c r="D407" s="1">
        <f>IFERROR(VLOOKUP(RIT_FUSIONS[[#This Row],[ID]],RIT_ACUM!A:A,1,0),"NOVO")</f>
        <v>46595</v>
      </c>
    </row>
    <row r="408" spans="1:4" hidden="1" x14ac:dyDescent="0.35">
      <c r="A408" s="1">
        <v>46594</v>
      </c>
      <c r="B408" s="2">
        <v>46290</v>
      </c>
      <c r="C408" s="1" t="s">
        <v>24</v>
      </c>
      <c r="D408" s="1">
        <f>IFERROR(VLOOKUP(RIT_FUSIONS[[#This Row],[ID]],RIT_ACUM!A:A,1,0),"NOVO")</f>
        <v>46594</v>
      </c>
    </row>
    <row r="409" spans="1:4" hidden="1" x14ac:dyDescent="0.35">
      <c r="A409" s="1">
        <v>46593</v>
      </c>
      <c r="B409" s="2">
        <v>46290</v>
      </c>
      <c r="C409" s="1" t="s">
        <v>24</v>
      </c>
      <c r="D409" s="1">
        <f>IFERROR(VLOOKUP(RIT_FUSIONS[[#This Row],[ID]],RIT_ACUM!A:A,1,0),"NOVO")</f>
        <v>46593</v>
      </c>
    </row>
    <row r="410" spans="1:4" hidden="1" x14ac:dyDescent="0.35">
      <c r="A410" s="1">
        <v>46592</v>
      </c>
      <c r="B410" s="2">
        <v>46290</v>
      </c>
      <c r="C410" s="1" t="s">
        <v>24</v>
      </c>
      <c r="D410" s="1">
        <f>IFERROR(VLOOKUP(RIT_FUSIONS[[#This Row],[ID]],RIT_ACUM!A:A,1,0),"NOVO")</f>
        <v>46592</v>
      </c>
    </row>
    <row r="411" spans="1:4" hidden="1" x14ac:dyDescent="0.35">
      <c r="A411" s="1">
        <v>46591</v>
      </c>
      <c r="B411" s="2">
        <v>46290</v>
      </c>
      <c r="C411" s="1" t="s">
        <v>24</v>
      </c>
      <c r="D411" s="1">
        <f>IFERROR(VLOOKUP(RIT_FUSIONS[[#This Row],[ID]],RIT_ACUM!A:A,1,0),"NOVO")</f>
        <v>46591</v>
      </c>
    </row>
    <row r="412" spans="1:4" hidden="1" x14ac:dyDescent="0.35">
      <c r="A412" s="1">
        <v>46590</v>
      </c>
      <c r="B412" s="2">
        <v>46290</v>
      </c>
      <c r="C412" s="1" t="s">
        <v>24</v>
      </c>
      <c r="D412" s="1">
        <f>IFERROR(VLOOKUP(RIT_FUSIONS[[#This Row],[ID]],RIT_ACUM!A:A,1,0),"NOVO")</f>
        <v>46590</v>
      </c>
    </row>
    <row r="413" spans="1:4" hidden="1" x14ac:dyDescent="0.35">
      <c r="A413" s="1">
        <v>46589</v>
      </c>
      <c r="B413" s="2">
        <v>46290</v>
      </c>
      <c r="C413" s="1" t="s">
        <v>24</v>
      </c>
      <c r="D413" s="1">
        <f>IFERROR(VLOOKUP(RIT_FUSIONS[[#This Row],[ID]],RIT_ACUM!A:A,1,0),"NOVO")</f>
        <v>46589</v>
      </c>
    </row>
    <row r="414" spans="1:4" hidden="1" x14ac:dyDescent="0.35">
      <c r="A414" s="1">
        <v>46588</v>
      </c>
      <c r="B414" s="2">
        <v>46290</v>
      </c>
      <c r="C414" s="1" t="s">
        <v>24</v>
      </c>
      <c r="D414" s="1">
        <f>IFERROR(VLOOKUP(RIT_FUSIONS[[#This Row],[ID]],RIT_ACUM!A:A,1,0),"NOVO")</f>
        <v>46588</v>
      </c>
    </row>
    <row r="415" spans="1:4" hidden="1" x14ac:dyDescent="0.35">
      <c r="A415" s="1">
        <v>46587</v>
      </c>
      <c r="B415" s="2">
        <v>46290</v>
      </c>
      <c r="C415" s="1" t="s">
        <v>24</v>
      </c>
      <c r="D415" s="1">
        <f>IFERROR(VLOOKUP(RIT_FUSIONS[[#This Row],[ID]],RIT_ACUM!A:A,1,0),"NOVO")</f>
        <v>46587</v>
      </c>
    </row>
    <row r="416" spans="1:4" hidden="1" x14ac:dyDescent="0.35">
      <c r="A416" s="1">
        <v>46586</v>
      </c>
      <c r="B416" s="2">
        <v>46290</v>
      </c>
      <c r="C416" s="1" t="s">
        <v>24</v>
      </c>
      <c r="D416" s="1">
        <f>IFERROR(VLOOKUP(RIT_FUSIONS[[#This Row],[ID]],RIT_ACUM!A:A,1,0),"NOVO")</f>
        <v>46586</v>
      </c>
    </row>
    <row r="417" spans="1:4" hidden="1" x14ac:dyDescent="0.35">
      <c r="A417" s="1">
        <v>46585</v>
      </c>
      <c r="B417" s="2">
        <v>46290</v>
      </c>
      <c r="C417" s="1" t="s">
        <v>24</v>
      </c>
      <c r="D417" s="1">
        <f>IFERROR(VLOOKUP(RIT_FUSIONS[[#This Row],[ID]],RIT_ACUM!A:A,1,0),"NOVO")</f>
        <v>46585</v>
      </c>
    </row>
    <row r="418" spans="1:4" hidden="1" x14ac:dyDescent="0.35">
      <c r="A418" s="1">
        <v>46584</v>
      </c>
      <c r="B418" s="2">
        <v>46290</v>
      </c>
      <c r="C418" s="1" t="s">
        <v>24</v>
      </c>
      <c r="D418" s="1">
        <f>IFERROR(VLOOKUP(RIT_FUSIONS[[#This Row],[ID]],RIT_ACUM!A:A,1,0),"NOVO")</f>
        <v>46584</v>
      </c>
    </row>
    <row r="419" spans="1:4" hidden="1" x14ac:dyDescent="0.35">
      <c r="A419" s="1">
        <v>46583</v>
      </c>
      <c r="B419" s="2">
        <v>46290</v>
      </c>
      <c r="C419" s="1" t="s">
        <v>24</v>
      </c>
      <c r="D419" s="1">
        <f>IFERROR(VLOOKUP(RIT_FUSIONS[[#This Row],[ID]],RIT_ACUM!A:A,1,0),"NOVO")</f>
        <v>46583</v>
      </c>
    </row>
    <row r="420" spans="1:4" hidden="1" x14ac:dyDescent="0.35">
      <c r="A420" s="1">
        <v>46582</v>
      </c>
      <c r="B420" s="2">
        <v>46290</v>
      </c>
      <c r="C420" s="1" t="s">
        <v>8</v>
      </c>
      <c r="D420" s="1">
        <f>IFERROR(VLOOKUP(RIT_FUSIONS[[#This Row],[ID]],RIT_ACUM!A:A,1,0),"NOVO")</f>
        <v>46582</v>
      </c>
    </row>
    <row r="421" spans="1:4" hidden="1" x14ac:dyDescent="0.35">
      <c r="A421" s="1">
        <v>46581</v>
      </c>
      <c r="B421" s="2">
        <v>46290</v>
      </c>
      <c r="C421" s="1" t="s">
        <v>8</v>
      </c>
      <c r="D421" s="1">
        <f>IFERROR(VLOOKUP(RIT_FUSIONS[[#This Row],[ID]],RIT_ACUM!A:A,1,0),"NOVO")</f>
        <v>46581</v>
      </c>
    </row>
    <row r="422" spans="1:4" hidden="1" x14ac:dyDescent="0.35">
      <c r="A422" s="1">
        <v>46580</v>
      </c>
      <c r="B422" s="2">
        <v>46289</v>
      </c>
      <c r="C422" s="1" t="s">
        <v>17</v>
      </c>
      <c r="D422" s="1">
        <f>IFERROR(VLOOKUP(RIT_FUSIONS[[#This Row],[ID]],RIT_ACUM!A:A,1,0),"NOVO")</f>
        <v>46580</v>
      </c>
    </row>
    <row r="423" spans="1:4" hidden="1" x14ac:dyDescent="0.35">
      <c r="A423" s="1">
        <v>46579</v>
      </c>
      <c r="B423" s="2">
        <v>46289</v>
      </c>
      <c r="C423" s="1" t="s">
        <v>17</v>
      </c>
      <c r="D423" s="1">
        <f>IFERROR(VLOOKUP(RIT_FUSIONS[[#This Row],[ID]],RIT_ACUM!A:A,1,0),"NOVO")</f>
        <v>46579</v>
      </c>
    </row>
    <row r="424" spans="1:4" hidden="1" x14ac:dyDescent="0.35">
      <c r="A424" s="1">
        <v>46578</v>
      </c>
      <c r="B424" s="2">
        <v>46289</v>
      </c>
      <c r="C424" s="1" t="s">
        <v>23</v>
      </c>
      <c r="D424" s="1">
        <f>IFERROR(VLOOKUP(RIT_FUSIONS[[#This Row],[ID]],RIT_ACUM!A:A,1,0),"NOVO")</f>
        <v>46578</v>
      </c>
    </row>
    <row r="425" spans="1:4" hidden="1" x14ac:dyDescent="0.35">
      <c r="A425" s="1">
        <v>46577</v>
      </c>
      <c r="B425" s="2">
        <v>46289</v>
      </c>
      <c r="C425" s="1" t="s">
        <v>23</v>
      </c>
      <c r="D425" s="1">
        <f>IFERROR(VLOOKUP(RIT_FUSIONS[[#This Row],[ID]],RIT_ACUM!A:A,1,0),"NOVO")</f>
        <v>46577</v>
      </c>
    </row>
    <row r="426" spans="1:4" hidden="1" x14ac:dyDescent="0.35">
      <c r="A426" s="1">
        <v>46576</v>
      </c>
      <c r="B426" s="2">
        <v>46289</v>
      </c>
      <c r="C426" s="1" t="s">
        <v>9</v>
      </c>
      <c r="D426" s="1">
        <f>IFERROR(VLOOKUP(RIT_FUSIONS[[#This Row],[ID]],RIT_ACUM!A:A,1,0),"NOVO")</f>
        <v>46576</v>
      </c>
    </row>
    <row r="427" spans="1:4" hidden="1" x14ac:dyDescent="0.35">
      <c r="A427" s="1">
        <v>46575</v>
      </c>
      <c r="B427" s="2">
        <v>46289</v>
      </c>
      <c r="C427" s="1" t="s">
        <v>17</v>
      </c>
      <c r="D427" s="1">
        <f>IFERROR(VLOOKUP(RIT_FUSIONS[[#This Row],[ID]],RIT_ACUM!A:A,1,0),"NOVO")</f>
        <v>46575</v>
      </c>
    </row>
    <row r="428" spans="1:4" hidden="1" x14ac:dyDescent="0.35">
      <c r="A428" s="1">
        <v>46574</v>
      </c>
      <c r="B428" s="2">
        <v>46289</v>
      </c>
      <c r="C428" s="1" t="s">
        <v>9</v>
      </c>
      <c r="D428" s="1">
        <f>IFERROR(VLOOKUP(RIT_FUSIONS[[#This Row],[ID]],RIT_ACUM!A:A,1,0),"NOVO")</f>
        <v>46574</v>
      </c>
    </row>
    <row r="429" spans="1:4" hidden="1" x14ac:dyDescent="0.35">
      <c r="A429" s="1">
        <v>46573</v>
      </c>
      <c r="B429" s="2">
        <v>46289</v>
      </c>
      <c r="C429" s="1" t="s">
        <v>9</v>
      </c>
      <c r="D429" s="1">
        <f>IFERROR(VLOOKUP(RIT_FUSIONS[[#This Row],[ID]],RIT_ACUM!A:A,1,0),"NOVO")</f>
        <v>46573</v>
      </c>
    </row>
    <row r="430" spans="1:4" hidden="1" x14ac:dyDescent="0.35">
      <c r="A430" s="1">
        <v>46571</v>
      </c>
      <c r="B430" s="2">
        <v>46289</v>
      </c>
      <c r="C430" s="1" t="s">
        <v>7</v>
      </c>
      <c r="D430" s="1">
        <f>IFERROR(VLOOKUP(RIT_FUSIONS[[#This Row],[ID]],RIT_ACUM!A:A,1,0),"NOVO")</f>
        <v>46571</v>
      </c>
    </row>
    <row r="431" spans="1:4" hidden="1" x14ac:dyDescent="0.35">
      <c r="A431" s="1">
        <v>46570</v>
      </c>
      <c r="B431" s="2">
        <v>46289</v>
      </c>
      <c r="C431" s="1" t="s">
        <v>4</v>
      </c>
      <c r="D431" s="1">
        <f>IFERROR(VLOOKUP(RIT_FUSIONS[[#This Row],[ID]],RIT_ACUM!A:A,1,0),"NOVO")</f>
        <v>46570</v>
      </c>
    </row>
    <row r="432" spans="1:4" hidden="1" x14ac:dyDescent="0.35">
      <c r="A432" s="1">
        <v>46569</v>
      </c>
      <c r="B432" s="2">
        <v>46289</v>
      </c>
      <c r="C432" s="1" t="s">
        <v>6</v>
      </c>
      <c r="D432" s="1">
        <f>IFERROR(VLOOKUP(RIT_FUSIONS[[#This Row],[ID]],RIT_ACUM!A:A,1,0),"NOVO")</f>
        <v>46569</v>
      </c>
    </row>
    <row r="433" spans="1:4" hidden="1" x14ac:dyDescent="0.35">
      <c r="A433" s="1">
        <v>46568</v>
      </c>
      <c r="B433" s="2">
        <v>46289</v>
      </c>
      <c r="C433" s="1" t="s">
        <v>6</v>
      </c>
      <c r="D433" s="1">
        <f>IFERROR(VLOOKUP(RIT_FUSIONS[[#This Row],[ID]],RIT_ACUM!A:A,1,0),"NOVO")</f>
        <v>46568</v>
      </c>
    </row>
    <row r="434" spans="1:4" hidden="1" x14ac:dyDescent="0.35">
      <c r="A434" s="1">
        <v>46567</v>
      </c>
      <c r="B434" s="2">
        <v>46289</v>
      </c>
      <c r="C434" s="1" t="s">
        <v>4</v>
      </c>
      <c r="D434" s="1">
        <f>IFERROR(VLOOKUP(RIT_FUSIONS[[#This Row],[ID]],RIT_ACUM!A:A,1,0),"NOVO")</f>
        <v>46567</v>
      </c>
    </row>
    <row r="435" spans="1:4" hidden="1" x14ac:dyDescent="0.35">
      <c r="A435" s="1">
        <v>46566</v>
      </c>
      <c r="B435" s="2">
        <v>46289</v>
      </c>
      <c r="C435" s="1" t="s">
        <v>10</v>
      </c>
      <c r="D435" s="1">
        <f>IFERROR(VLOOKUP(RIT_FUSIONS[[#This Row],[ID]],RIT_ACUM!A:A,1,0),"NOVO")</f>
        <v>46566</v>
      </c>
    </row>
    <row r="436" spans="1:4" hidden="1" x14ac:dyDescent="0.35">
      <c r="A436" s="1">
        <v>46565</v>
      </c>
      <c r="B436" s="2">
        <v>46289</v>
      </c>
      <c r="C436" s="1" t="s">
        <v>10</v>
      </c>
      <c r="D436" s="1">
        <f>IFERROR(VLOOKUP(RIT_FUSIONS[[#This Row],[ID]],RIT_ACUM!A:A,1,0),"NOVO")</f>
        <v>46565</v>
      </c>
    </row>
    <row r="437" spans="1:4" hidden="1" x14ac:dyDescent="0.35">
      <c r="A437" s="1">
        <v>46564</v>
      </c>
      <c r="B437" s="2">
        <v>46289</v>
      </c>
      <c r="C437" s="1" t="s">
        <v>3</v>
      </c>
      <c r="D437" s="1">
        <f>IFERROR(VLOOKUP(RIT_FUSIONS[[#This Row],[ID]],RIT_ACUM!A:A,1,0),"NOVO")</f>
        <v>46564</v>
      </c>
    </row>
    <row r="438" spans="1:4" hidden="1" x14ac:dyDescent="0.35">
      <c r="A438" s="1">
        <v>46563</v>
      </c>
      <c r="B438" s="2">
        <v>46289</v>
      </c>
      <c r="C438" s="1" t="s">
        <v>3</v>
      </c>
      <c r="D438" s="1">
        <f>IFERROR(VLOOKUP(RIT_FUSIONS[[#This Row],[ID]],RIT_ACUM!A:A,1,0),"NOVO")</f>
        <v>46563</v>
      </c>
    </row>
    <row r="439" spans="1:4" hidden="1" x14ac:dyDescent="0.35">
      <c r="A439" s="1">
        <v>46562</v>
      </c>
      <c r="B439" s="2">
        <v>46289</v>
      </c>
      <c r="C439" s="1" t="s">
        <v>3</v>
      </c>
      <c r="D439" s="1">
        <f>IFERROR(VLOOKUP(RIT_FUSIONS[[#This Row],[ID]],RIT_ACUM!A:A,1,0),"NOVO")</f>
        <v>46562</v>
      </c>
    </row>
    <row r="440" spans="1:4" hidden="1" x14ac:dyDescent="0.35">
      <c r="A440" s="1">
        <v>46561</v>
      </c>
      <c r="B440" s="2">
        <v>46289</v>
      </c>
      <c r="C440" s="1" t="s">
        <v>3</v>
      </c>
      <c r="D440" s="1">
        <f>IFERROR(VLOOKUP(RIT_FUSIONS[[#This Row],[ID]],RIT_ACUM!A:A,1,0),"NOVO")</f>
        <v>46561</v>
      </c>
    </row>
    <row r="441" spans="1:4" hidden="1" x14ac:dyDescent="0.35">
      <c r="A441" s="1">
        <v>46560</v>
      </c>
      <c r="B441" s="2">
        <v>46289</v>
      </c>
      <c r="C441" s="1" t="s">
        <v>3</v>
      </c>
      <c r="D441" s="1">
        <f>IFERROR(VLOOKUP(RIT_FUSIONS[[#This Row],[ID]],RIT_ACUM!A:A,1,0),"NOVO")</f>
        <v>46560</v>
      </c>
    </row>
    <row r="442" spans="1:4" hidden="1" x14ac:dyDescent="0.35">
      <c r="A442" s="1">
        <v>46559</v>
      </c>
      <c r="B442" s="2">
        <v>46289</v>
      </c>
      <c r="C442" s="1" t="s">
        <v>19</v>
      </c>
      <c r="D442" s="1">
        <f>IFERROR(VLOOKUP(RIT_FUSIONS[[#This Row],[ID]],RIT_ACUM!A:A,1,0),"NOVO")</f>
        <v>46559</v>
      </c>
    </row>
    <row r="443" spans="1:4" hidden="1" x14ac:dyDescent="0.35">
      <c r="A443" s="1">
        <v>46558</v>
      </c>
      <c r="B443" s="2">
        <v>46289</v>
      </c>
      <c r="C443" s="1" t="s">
        <v>19</v>
      </c>
      <c r="D443" s="1">
        <f>IFERROR(VLOOKUP(RIT_FUSIONS[[#This Row],[ID]],RIT_ACUM!A:A,1,0),"NOVO")</f>
        <v>46558</v>
      </c>
    </row>
    <row r="444" spans="1:4" hidden="1" x14ac:dyDescent="0.35">
      <c r="A444" s="1">
        <v>46557</v>
      </c>
      <c r="B444" s="2">
        <v>46289</v>
      </c>
      <c r="C444" s="1" t="s">
        <v>9</v>
      </c>
      <c r="D444" s="1">
        <f>IFERROR(VLOOKUP(RIT_FUSIONS[[#This Row],[ID]],RIT_ACUM!A:A,1,0),"NOVO")</f>
        <v>46557</v>
      </c>
    </row>
    <row r="445" spans="1:4" hidden="1" x14ac:dyDescent="0.35">
      <c r="A445" s="1">
        <v>46556</v>
      </c>
      <c r="B445" s="2">
        <v>46289</v>
      </c>
      <c r="C445" s="1" t="s">
        <v>9</v>
      </c>
      <c r="D445" s="1">
        <f>IFERROR(VLOOKUP(RIT_FUSIONS[[#This Row],[ID]],RIT_ACUM!A:A,1,0),"NOVO")</f>
        <v>46556</v>
      </c>
    </row>
    <row r="446" spans="1:4" hidden="1" x14ac:dyDescent="0.35">
      <c r="A446" s="1">
        <v>46555</v>
      </c>
      <c r="B446" s="2">
        <v>46289</v>
      </c>
      <c r="C446" s="1" t="s">
        <v>7</v>
      </c>
      <c r="D446" s="1">
        <f>IFERROR(VLOOKUP(RIT_FUSIONS[[#This Row],[ID]],RIT_ACUM!A:A,1,0),"NOVO")</f>
        <v>46555</v>
      </c>
    </row>
    <row r="447" spans="1:4" hidden="1" x14ac:dyDescent="0.35">
      <c r="A447" s="1">
        <v>46551</v>
      </c>
      <c r="B447" s="2">
        <v>46288</v>
      </c>
      <c r="C447" s="1" t="s">
        <v>10</v>
      </c>
      <c r="D447" s="1">
        <f>IFERROR(VLOOKUP(RIT_FUSIONS[[#This Row],[ID]],RIT_ACUM!A:A,1,0),"NOVO")</f>
        <v>46551</v>
      </c>
    </row>
    <row r="448" spans="1:4" hidden="1" x14ac:dyDescent="0.35">
      <c r="A448" s="1">
        <v>46550</v>
      </c>
      <c r="B448" s="2">
        <v>46288</v>
      </c>
      <c r="C448" s="1" t="s">
        <v>10</v>
      </c>
      <c r="D448" s="1">
        <f>IFERROR(VLOOKUP(RIT_FUSIONS[[#This Row],[ID]],RIT_ACUM!A:A,1,0),"NOVO")</f>
        <v>46550</v>
      </c>
    </row>
    <row r="449" spans="1:4" hidden="1" x14ac:dyDescent="0.35">
      <c r="A449" s="1">
        <v>46549</v>
      </c>
      <c r="B449" s="2">
        <v>46288</v>
      </c>
      <c r="C449" s="1" t="s">
        <v>11</v>
      </c>
      <c r="D449" s="1">
        <f>IFERROR(VLOOKUP(RIT_FUSIONS[[#This Row],[ID]],RIT_ACUM!A:A,1,0),"NOVO")</f>
        <v>46549</v>
      </c>
    </row>
    <row r="450" spans="1:4" hidden="1" x14ac:dyDescent="0.35">
      <c r="A450" s="1">
        <v>46548</v>
      </c>
      <c r="B450" s="2">
        <v>46288</v>
      </c>
      <c r="C450" s="1" t="s">
        <v>6</v>
      </c>
      <c r="D450" s="1">
        <f>IFERROR(VLOOKUP(RIT_FUSIONS[[#This Row],[ID]],RIT_ACUM!A:A,1,0),"NOVO")</f>
        <v>46548</v>
      </c>
    </row>
    <row r="451" spans="1:4" hidden="1" x14ac:dyDescent="0.35">
      <c r="A451" s="1">
        <v>46547</v>
      </c>
      <c r="B451" s="2">
        <v>46288</v>
      </c>
      <c r="C451" s="1" t="s">
        <v>6</v>
      </c>
      <c r="D451" s="1">
        <f>IFERROR(VLOOKUP(RIT_FUSIONS[[#This Row],[ID]],RIT_ACUM!A:A,1,0),"NOVO")</f>
        <v>46547</v>
      </c>
    </row>
    <row r="452" spans="1:4" hidden="1" x14ac:dyDescent="0.35">
      <c r="A452" s="1">
        <v>46546</v>
      </c>
      <c r="B452" s="2">
        <v>46288</v>
      </c>
      <c r="C452" s="1" t="s">
        <v>23</v>
      </c>
      <c r="D452" s="1">
        <f>IFERROR(VLOOKUP(RIT_FUSIONS[[#This Row],[ID]],RIT_ACUM!A:A,1,0),"NOVO")</f>
        <v>46546</v>
      </c>
    </row>
    <row r="453" spans="1:4" hidden="1" x14ac:dyDescent="0.35">
      <c r="A453" s="1">
        <v>46545</v>
      </c>
      <c r="B453" s="2">
        <v>46288</v>
      </c>
      <c r="C453" s="1" t="s">
        <v>23</v>
      </c>
      <c r="D453" s="1">
        <f>IFERROR(VLOOKUP(RIT_FUSIONS[[#This Row],[ID]],RIT_ACUM!A:A,1,0),"NOVO")</f>
        <v>46545</v>
      </c>
    </row>
    <row r="454" spans="1:4" hidden="1" x14ac:dyDescent="0.35">
      <c r="A454" s="1">
        <v>46544</v>
      </c>
      <c r="B454" s="2">
        <v>46288</v>
      </c>
      <c r="C454" s="1" t="s">
        <v>4</v>
      </c>
      <c r="D454" s="1">
        <f>IFERROR(VLOOKUP(RIT_FUSIONS[[#This Row],[ID]],RIT_ACUM!A:A,1,0),"NOVO")</f>
        <v>46544</v>
      </c>
    </row>
    <row r="455" spans="1:4" hidden="1" x14ac:dyDescent="0.35">
      <c r="A455" s="1">
        <v>46543</v>
      </c>
      <c r="B455" s="2">
        <v>46288</v>
      </c>
      <c r="C455" s="1" t="s">
        <v>4</v>
      </c>
      <c r="D455" s="1">
        <f>IFERROR(VLOOKUP(RIT_FUSIONS[[#This Row],[ID]],RIT_ACUM!A:A,1,0),"NOVO")</f>
        <v>46543</v>
      </c>
    </row>
    <row r="456" spans="1:4" hidden="1" x14ac:dyDescent="0.35">
      <c r="A456" s="1">
        <v>46542</v>
      </c>
      <c r="B456" s="2">
        <v>46288</v>
      </c>
      <c r="C456" s="1" t="s">
        <v>4</v>
      </c>
      <c r="D456" s="1">
        <f>IFERROR(VLOOKUP(RIT_FUSIONS[[#This Row],[ID]],RIT_ACUM!A:A,1,0),"NOVO")</f>
        <v>46542</v>
      </c>
    </row>
    <row r="457" spans="1:4" hidden="1" x14ac:dyDescent="0.35">
      <c r="A457" s="1">
        <v>46541</v>
      </c>
      <c r="B457" s="2">
        <v>46288</v>
      </c>
      <c r="C457" s="1" t="s">
        <v>17</v>
      </c>
      <c r="D457" s="1">
        <f>IFERROR(VLOOKUP(RIT_FUSIONS[[#This Row],[ID]],RIT_ACUM!A:A,1,0),"NOVO")</f>
        <v>46541</v>
      </c>
    </row>
    <row r="458" spans="1:4" hidden="1" x14ac:dyDescent="0.35">
      <c r="A458" s="1">
        <v>46540</v>
      </c>
      <c r="B458" s="2">
        <v>46288</v>
      </c>
      <c r="C458" s="1" t="s">
        <v>17</v>
      </c>
      <c r="D458" s="1">
        <f>IFERROR(VLOOKUP(RIT_FUSIONS[[#This Row],[ID]],RIT_ACUM!A:A,1,0),"NOVO")</f>
        <v>46540</v>
      </c>
    </row>
    <row r="459" spans="1:4" hidden="1" x14ac:dyDescent="0.35">
      <c r="A459" s="1">
        <v>46533</v>
      </c>
      <c r="B459" s="2">
        <v>46288</v>
      </c>
      <c r="C459" s="1" t="s">
        <v>3</v>
      </c>
      <c r="D459" s="1">
        <f>IFERROR(VLOOKUP(RIT_FUSIONS[[#This Row],[ID]],RIT_ACUM!A:A,1,0),"NOVO")</f>
        <v>46533</v>
      </c>
    </row>
    <row r="460" spans="1:4" hidden="1" x14ac:dyDescent="0.35">
      <c r="A460" s="1">
        <v>46531</v>
      </c>
      <c r="B460" s="2">
        <v>46288</v>
      </c>
      <c r="C460" s="1" t="s">
        <v>28</v>
      </c>
      <c r="D460" s="1">
        <f>IFERROR(VLOOKUP(RIT_FUSIONS[[#This Row],[ID]],RIT_ACUM!A:A,1,0),"NOVO")</f>
        <v>46531</v>
      </c>
    </row>
    <row r="461" spans="1:4" hidden="1" x14ac:dyDescent="0.35">
      <c r="A461" s="1">
        <v>46529</v>
      </c>
      <c r="B461" s="2">
        <v>46288</v>
      </c>
      <c r="C461" s="1" t="s">
        <v>3</v>
      </c>
      <c r="D461" s="1">
        <f>IFERROR(VLOOKUP(RIT_FUSIONS[[#This Row],[ID]],RIT_ACUM!A:A,1,0),"NOVO")</f>
        <v>46529</v>
      </c>
    </row>
    <row r="462" spans="1:4" hidden="1" x14ac:dyDescent="0.35">
      <c r="A462" s="1">
        <v>46528</v>
      </c>
      <c r="B462" s="2">
        <v>46288</v>
      </c>
      <c r="C462" s="1" t="s">
        <v>28</v>
      </c>
      <c r="D462" s="1">
        <f>IFERROR(VLOOKUP(RIT_FUSIONS[[#This Row],[ID]],RIT_ACUM!A:A,1,0),"NOVO")</f>
        <v>46528</v>
      </c>
    </row>
    <row r="463" spans="1:4" hidden="1" x14ac:dyDescent="0.35">
      <c r="A463" s="1">
        <v>46527</v>
      </c>
      <c r="B463" s="2">
        <v>46288</v>
      </c>
      <c r="C463" s="1" t="s">
        <v>28</v>
      </c>
      <c r="D463" s="1">
        <f>IFERROR(VLOOKUP(RIT_FUSIONS[[#This Row],[ID]],RIT_ACUM!A:A,1,0),"NOVO")</f>
        <v>46527</v>
      </c>
    </row>
    <row r="464" spans="1:4" hidden="1" x14ac:dyDescent="0.35">
      <c r="A464" s="1">
        <v>46526</v>
      </c>
      <c r="B464" s="2">
        <v>46288</v>
      </c>
      <c r="C464" s="1" t="s">
        <v>28</v>
      </c>
      <c r="D464" s="1">
        <f>IFERROR(VLOOKUP(RIT_FUSIONS[[#This Row],[ID]],RIT_ACUM!A:A,1,0),"NOVO")</f>
        <v>46526</v>
      </c>
    </row>
    <row r="465" spans="1:4" hidden="1" x14ac:dyDescent="0.35">
      <c r="A465" s="1">
        <v>46525</v>
      </c>
      <c r="B465" s="2">
        <v>46288</v>
      </c>
      <c r="C465" s="1" t="s">
        <v>28</v>
      </c>
      <c r="D465" s="1">
        <f>IFERROR(VLOOKUP(RIT_FUSIONS[[#This Row],[ID]],RIT_ACUM!A:A,1,0),"NOVO")</f>
        <v>46525</v>
      </c>
    </row>
    <row r="466" spans="1:4" hidden="1" x14ac:dyDescent="0.35">
      <c r="A466" s="1">
        <v>46524</v>
      </c>
      <c r="B466" s="2">
        <v>46288</v>
      </c>
      <c r="C466" s="1" t="s">
        <v>9</v>
      </c>
      <c r="D466" s="1">
        <f>IFERROR(VLOOKUP(RIT_FUSIONS[[#This Row],[ID]],RIT_ACUM!A:A,1,0),"NOVO")</f>
        <v>46524</v>
      </c>
    </row>
    <row r="467" spans="1:4" hidden="1" x14ac:dyDescent="0.35">
      <c r="A467" s="1">
        <v>46523</v>
      </c>
      <c r="B467" s="2">
        <v>46288</v>
      </c>
      <c r="C467" s="1" t="s">
        <v>9</v>
      </c>
      <c r="D467" s="1">
        <f>IFERROR(VLOOKUP(RIT_FUSIONS[[#This Row],[ID]],RIT_ACUM!A:A,1,0),"NOVO")</f>
        <v>46523</v>
      </c>
    </row>
    <row r="468" spans="1:4" hidden="1" x14ac:dyDescent="0.35">
      <c r="A468" s="1">
        <v>46522</v>
      </c>
      <c r="B468" s="2">
        <v>46288</v>
      </c>
      <c r="C468" s="1" t="s">
        <v>21</v>
      </c>
      <c r="D468" s="1">
        <f>IFERROR(VLOOKUP(RIT_FUSIONS[[#This Row],[ID]],RIT_ACUM!A:A,1,0),"NOVO")</f>
        <v>46522</v>
      </c>
    </row>
    <row r="469" spans="1:4" hidden="1" x14ac:dyDescent="0.35">
      <c r="A469" s="1">
        <v>46521</v>
      </c>
      <c r="B469" s="2">
        <v>46288</v>
      </c>
      <c r="C469" s="1" t="s">
        <v>21</v>
      </c>
      <c r="D469" s="1">
        <f>IFERROR(VLOOKUP(RIT_FUSIONS[[#This Row],[ID]],RIT_ACUM!A:A,1,0),"NOVO")</f>
        <v>46521</v>
      </c>
    </row>
    <row r="470" spans="1:4" hidden="1" x14ac:dyDescent="0.35">
      <c r="A470" s="1">
        <v>46519</v>
      </c>
      <c r="B470" s="2">
        <v>46288</v>
      </c>
      <c r="C470" s="1" t="s">
        <v>9</v>
      </c>
      <c r="D470" s="1">
        <f>IFERROR(VLOOKUP(RIT_FUSIONS[[#This Row],[ID]],RIT_ACUM!A:A,1,0),"NOVO")</f>
        <v>46519</v>
      </c>
    </row>
    <row r="471" spans="1:4" hidden="1" x14ac:dyDescent="0.35">
      <c r="A471" s="1">
        <v>46517</v>
      </c>
      <c r="B471" s="2">
        <v>46288</v>
      </c>
      <c r="C471" s="1" t="s">
        <v>19</v>
      </c>
      <c r="D471" s="1">
        <f>IFERROR(VLOOKUP(RIT_FUSIONS[[#This Row],[ID]],RIT_ACUM!A:A,1,0),"NOVO")</f>
        <v>46517</v>
      </c>
    </row>
    <row r="472" spans="1:4" hidden="1" x14ac:dyDescent="0.35">
      <c r="A472" s="1">
        <v>46516</v>
      </c>
      <c r="B472" s="2">
        <v>46288</v>
      </c>
      <c r="C472" s="1" t="s">
        <v>3</v>
      </c>
      <c r="D472" s="1">
        <f>IFERROR(VLOOKUP(RIT_FUSIONS[[#This Row],[ID]],RIT_ACUM!A:A,1,0),"NOVO")</f>
        <v>46516</v>
      </c>
    </row>
    <row r="473" spans="1:4" hidden="1" x14ac:dyDescent="0.35">
      <c r="A473" s="1">
        <v>46515</v>
      </c>
      <c r="B473" s="2">
        <v>46288</v>
      </c>
      <c r="C473" s="1" t="s">
        <v>21</v>
      </c>
      <c r="D473" s="1">
        <f>IFERROR(VLOOKUP(RIT_FUSIONS[[#This Row],[ID]],RIT_ACUM!A:A,1,0),"NOVO")</f>
        <v>46515</v>
      </c>
    </row>
    <row r="474" spans="1:4" hidden="1" x14ac:dyDescent="0.35">
      <c r="A474" s="1">
        <v>46514</v>
      </c>
      <c r="B474" s="2">
        <v>46288</v>
      </c>
      <c r="C474" s="1" t="s">
        <v>21</v>
      </c>
      <c r="D474" s="1">
        <f>IFERROR(VLOOKUP(RIT_FUSIONS[[#This Row],[ID]],RIT_ACUM!A:A,1,0),"NOVO")</f>
        <v>46514</v>
      </c>
    </row>
    <row r="475" spans="1:4" hidden="1" x14ac:dyDescent="0.35">
      <c r="A475" s="1">
        <v>46513</v>
      </c>
      <c r="B475" s="2">
        <v>46288</v>
      </c>
      <c r="C475" s="1" t="s">
        <v>3</v>
      </c>
      <c r="D475" s="1">
        <f>IFERROR(VLOOKUP(RIT_FUSIONS[[#This Row],[ID]],RIT_ACUM!A:A,1,0),"NOVO")</f>
        <v>46513</v>
      </c>
    </row>
    <row r="476" spans="1:4" hidden="1" x14ac:dyDescent="0.35">
      <c r="A476" s="1">
        <v>46512</v>
      </c>
      <c r="B476" s="2">
        <v>46288</v>
      </c>
      <c r="C476" s="1" t="s">
        <v>21</v>
      </c>
      <c r="D476" s="1">
        <f>IFERROR(VLOOKUP(RIT_FUSIONS[[#This Row],[ID]],RIT_ACUM!A:A,1,0),"NOVO")</f>
        <v>46512</v>
      </c>
    </row>
    <row r="477" spans="1:4" hidden="1" x14ac:dyDescent="0.35">
      <c r="A477" s="1">
        <v>46510</v>
      </c>
      <c r="B477" s="2">
        <v>46288</v>
      </c>
      <c r="C477" s="1" t="s">
        <v>8</v>
      </c>
      <c r="D477" s="1">
        <f>IFERROR(VLOOKUP(RIT_FUSIONS[[#This Row],[ID]],RIT_ACUM!A:A,1,0),"NOVO")</f>
        <v>46510</v>
      </c>
    </row>
    <row r="478" spans="1:4" hidden="1" x14ac:dyDescent="0.35">
      <c r="A478" s="1">
        <v>46509</v>
      </c>
      <c r="B478" s="2">
        <v>46288</v>
      </c>
      <c r="C478" s="1" t="s">
        <v>8</v>
      </c>
      <c r="D478" s="1">
        <f>IFERROR(VLOOKUP(RIT_FUSIONS[[#This Row],[ID]],RIT_ACUM!A:A,1,0),"NOVO")</f>
        <v>46509</v>
      </c>
    </row>
    <row r="479" spans="1:4" hidden="1" x14ac:dyDescent="0.35">
      <c r="A479" s="1">
        <v>46508</v>
      </c>
      <c r="B479" s="2">
        <v>46288</v>
      </c>
      <c r="C479" s="1" t="s">
        <v>19</v>
      </c>
      <c r="D479" s="1">
        <f>IFERROR(VLOOKUP(RIT_FUSIONS[[#This Row],[ID]],RIT_ACUM!A:A,1,0),"NOVO")</f>
        <v>46508</v>
      </c>
    </row>
    <row r="480" spans="1:4" hidden="1" x14ac:dyDescent="0.35">
      <c r="A480" s="1">
        <v>46503</v>
      </c>
      <c r="B480" s="2">
        <v>46287</v>
      </c>
      <c r="C480" s="1" t="s">
        <v>28</v>
      </c>
      <c r="D480" s="1">
        <f>IFERROR(VLOOKUP(RIT_FUSIONS[[#This Row],[ID]],RIT_ACUM!A:A,1,0),"NOVO")</f>
        <v>46503</v>
      </c>
    </row>
    <row r="481" spans="1:4" hidden="1" x14ac:dyDescent="0.35">
      <c r="A481" s="1">
        <v>46502</v>
      </c>
      <c r="B481" s="2">
        <v>46287</v>
      </c>
      <c r="C481" s="1" t="s">
        <v>28</v>
      </c>
      <c r="D481" s="1">
        <f>IFERROR(VLOOKUP(RIT_FUSIONS[[#This Row],[ID]],RIT_ACUM!A:A,1,0),"NOVO")</f>
        <v>46502</v>
      </c>
    </row>
    <row r="482" spans="1:4" hidden="1" x14ac:dyDescent="0.35">
      <c r="A482" s="1">
        <v>46501</v>
      </c>
      <c r="B482" s="2">
        <v>46287</v>
      </c>
      <c r="C482" s="1" t="s">
        <v>28</v>
      </c>
      <c r="D482" s="1">
        <f>IFERROR(VLOOKUP(RIT_FUSIONS[[#This Row],[ID]],RIT_ACUM!A:A,1,0),"NOVO")</f>
        <v>46501</v>
      </c>
    </row>
    <row r="483" spans="1:4" hidden="1" x14ac:dyDescent="0.35">
      <c r="A483" s="1">
        <v>46500</v>
      </c>
      <c r="B483" s="2">
        <v>46287</v>
      </c>
      <c r="C483" s="1" t="s">
        <v>28</v>
      </c>
      <c r="D483" s="1">
        <f>IFERROR(VLOOKUP(RIT_FUSIONS[[#This Row],[ID]],RIT_ACUM!A:A,1,0),"NOVO")</f>
        <v>46500</v>
      </c>
    </row>
    <row r="484" spans="1:4" hidden="1" x14ac:dyDescent="0.35">
      <c r="A484" s="1">
        <v>46499</v>
      </c>
      <c r="B484" s="2">
        <v>46287</v>
      </c>
      <c r="C484" s="1" t="s">
        <v>28</v>
      </c>
      <c r="D484" s="1">
        <f>IFERROR(VLOOKUP(RIT_FUSIONS[[#This Row],[ID]],RIT_ACUM!A:A,1,0),"NOVO")</f>
        <v>46499</v>
      </c>
    </row>
    <row r="485" spans="1:4" hidden="1" x14ac:dyDescent="0.35">
      <c r="A485" s="1">
        <v>46498</v>
      </c>
      <c r="B485" s="2">
        <v>46287</v>
      </c>
      <c r="C485" s="1" t="s">
        <v>28</v>
      </c>
      <c r="D485" s="1">
        <f>IFERROR(VLOOKUP(RIT_FUSIONS[[#This Row],[ID]],RIT_ACUM!A:A,1,0),"NOVO")</f>
        <v>46498</v>
      </c>
    </row>
    <row r="486" spans="1:4" hidden="1" x14ac:dyDescent="0.35">
      <c r="A486" s="1">
        <v>46497</v>
      </c>
      <c r="B486" s="2">
        <v>46287</v>
      </c>
      <c r="C486" s="1" t="s">
        <v>28</v>
      </c>
      <c r="D486" s="1">
        <f>IFERROR(VLOOKUP(RIT_FUSIONS[[#This Row],[ID]],RIT_ACUM!A:A,1,0),"NOVO")</f>
        <v>46497</v>
      </c>
    </row>
    <row r="487" spans="1:4" hidden="1" x14ac:dyDescent="0.35">
      <c r="A487" s="1">
        <v>46496</v>
      </c>
      <c r="B487" s="2">
        <v>46287</v>
      </c>
      <c r="C487" s="1" t="s">
        <v>28</v>
      </c>
      <c r="D487" s="1">
        <f>IFERROR(VLOOKUP(RIT_FUSIONS[[#This Row],[ID]],RIT_ACUM!A:A,1,0),"NOVO")</f>
        <v>46496</v>
      </c>
    </row>
    <row r="488" spans="1:4" hidden="1" x14ac:dyDescent="0.35">
      <c r="A488" s="1">
        <v>46495</v>
      </c>
      <c r="B488" s="2">
        <v>46287</v>
      </c>
      <c r="C488" s="1" t="s">
        <v>28</v>
      </c>
      <c r="D488" s="1">
        <f>IFERROR(VLOOKUP(RIT_FUSIONS[[#This Row],[ID]],RIT_ACUM!A:A,1,0),"NOVO")</f>
        <v>46495</v>
      </c>
    </row>
    <row r="489" spans="1:4" hidden="1" x14ac:dyDescent="0.35">
      <c r="A489" s="1">
        <v>46494</v>
      </c>
      <c r="B489" s="2">
        <v>46287</v>
      </c>
      <c r="C489" s="1" t="s">
        <v>28</v>
      </c>
      <c r="D489" s="1">
        <f>IFERROR(VLOOKUP(RIT_FUSIONS[[#This Row],[ID]],RIT_ACUM!A:A,1,0),"NOVO")</f>
        <v>46494</v>
      </c>
    </row>
    <row r="490" spans="1:4" hidden="1" x14ac:dyDescent="0.35">
      <c r="A490" s="1">
        <v>46493</v>
      </c>
      <c r="B490" s="2">
        <v>46287</v>
      </c>
      <c r="C490" s="1" t="s">
        <v>28</v>
      </c>
      <c r="D490" s="1">
        <f>IFERROR(VLOOKUP(RIT_FUSIONS[[#This Row],[ID]],RIT_ACUM!A:A,1,0),"NOVO")</f>
        <v>46493</v>
      </c>
    </row>
    <row r="491" spans="1:4" hidden="1" x14ac:dyDescent="0.35">
      <c r="A491" s="1">
        <v>46492</v>
      </c>
      <c r="B491" s="2">
        <v>46287</v>
      </c>
      <c r="C491" s="1" t="s">
        <v>28</v>
      </c>
      <c r="D491" s="1">
        <f>IFERROR(VLOOKUP(RIT_FUSIONS[[#This Row],[ID]],RIT_ACUM!A:A,1,0),"NOVO")</f>
        <v>46492</v>
      </c>
    </row>
    <row r="492" spans="1:4" hidden="1" x14ac:dyDescent="0.35">
      <c r="A492" s="1">
        <v>46491</v>
      </c>
      <c r="B492" s="2">
        <v>46287</v>
      </c>
      <c r="C492" s="1" t="s">
        <v>28</v>
      </c>
      <c r="D492" s="1">
        <f>IFERROR(VLOOKUP(RIT_FUSIONS[[#This Row],[ID]],RIT_ACUM!A:A,1,0),"NOVO")</f>
        <v>46491</v>
      </c>
    </row>
    <row r="493" spans="1:4" hidden="1" x14ac:dyDescent="0.35">
      <c r="A493" s="1">
        <v>46487</v>
      </c>
      <c r="B493" s="2">
        <v>46287</v>
      </c>
      <c r="C493" s="1" t="s">
        <v>23</v>
      </c>
      <c r="D493" s="1">
        <f>IFERROR(VLOOKUP(RIT_FUSIONS[[#This Row],[ID]],RIT_ACUM!A:A,1,0),"NOVO")</f>
        <v>46487</v>
      </c>
    </row>
    <row r="494" spans="1:4" hidden="1" x14ac:dyDescent="0.35">
      <c r="A494" s="1">
        <v>46486</v>
      </c>
      <c r="B494" s="2">
        <v>46287</v>
      </c>
      <c r="C494" s="1" t="s">
        <v>23</v>
      </c>
      <c r="D494" s="1">
        <f>IFERROR(VLOOKUP(RIT_FUSIONS[[#This Row],[ID]],RIT_ACUM!A:A,1,0),"NOVO")</f>
        <v>46486</v>
      </c>
    </row>
    <row r="495" spans="1:4" hidden="1" x14ac:dyDescent="0.35">
      <c r="A495" s="1">
        <v>46484</v>
      </c>
      <c r="B495" s="2">
        <v>46287</v>
      </c>
      <c r="C495" s="1" t="s">
        <v>9</v>
      </c>
      <c r="D495" s="1">
        <f>IFERROR(VLOOKUP(RIT_FUSIONS[[#This Row],[ID]],RIT_ACUM!A:A,1,0),"NOVO")</f>
        <v>46484</v>
      </c>
    </row>
    <row r="496" spans="1:4" hidden="1" x14ac:dyDescent="0.35">
      <c r="A496" s="1">
        <v>46483</v>
      </c>
      <c r="B496" s="2">
        <v>46287</v>
      </c>
      <c r="C496" s="1" t="s">
        <v>22</v>
      </c>
      <c r="D496" s="1">
        <f>IFERROR(VLOOKUP(RIT_FUSIONS[[#This Row],[ID]],RIT_ACUM!A:A,1,0),"NOVO")</f>
        <v>46483</v>
      </c>
    </row>
    <row r="497" spans="1:4" hidden="1" x14ac:dyDescent="0.35">
      <c r="A497" s="1">
        <v>46482</v>
      </c>
      <c r="B497" s="2">
        <v>46287</v>
      </c>
      <c r="C497" s="1" t="s">
        <v>22</v>
      </c>
      <c r="D497" s="1">
        <f>IFERROR(VLOOKUP(RIT_FUSIONS[[#This Row],[ID]],RIT_ACUM!A:A,1,0),"NOVO")</f>
        <v>46482</v>
      </c>
    </row>
    <row r="498" spans="1:4" hidden="1" x14ac:dyDescent="0.35">
      <c r="A498" s="1">
        <v>46481</v>
      </c>
      <c r="B498" s="2">
        <v>46287</v>
      </c>
      <c r="C498" s="1" t="s">
        <v>9</v>
      </c>
      <c r="D498" s="1">
        <f>IFERROR(VLOOKUP(RIT_FUSIONS[[#This Row],[ID]],RIT_ACUM!A:A,1,0),"NOVO")</f>
        <v>46481</v>
      </c>
    </row>
    <row r="499" spans="1:4" hidden="1" x14ac:dyDescent="0.35">
      <c r="A499" s="1">
        <v>46480</v>
      </c>
      <c r="B499" s="2">
        <v>46287</v>
      </c>
      <c r="C499" s="1" t="s">
        <v>3</v>
      </c>
      <c r="D499" s="1">
        <f>IFERROR(VLOOKUP(RIT_FUSIONS[[#This Row],[ID]],RIT_ACUM!A:A,1,0),"NOVO")</f>
        <v>46480</v>
      </c>
    </row>
    <row r="500" spans="1:4" hidden="1" x14ac:dyDescent="0.35">
      <c r="A500" s="1">
        <v>46479</v>
      </c>
      <c r="B500" s="2">
        <v>46287</v>
      </c>
      <c r="C500" s="1" t="s">
        <v>22</v>
      </c>
      <c r="D500" s="1">
        <f>IFERROR(VLOOKUP(RIT_FUSIONS[[#This Row],[ID]],RIT_ACUM!A:A,1,0),"NOVO")</f>
        <v>46479</v>
      </c>
    </row>
    <row r="501" spans="1:4" hidden="1" x14ac:dyDescent="0.35">
      <c r="A501" s="1">
        <v>46478</v>
      </c>
      <c r="B501" s="2">
        <v>46287</v>
      </c>
      <c r="C501" s="1" t="s">
        <v>3</v>
      </c>
      <c r="D501" s="1">
        <f>IFERROR(VLOOKUP(RIT_FUSIONS[[#This Row],[ID]],RIT_ACUM!A:A,1,0),"NOVO")</f>
        <v>46478</v>
      </c>
    </row>
    <row r="502" spans="1:4" hidden="1" x14ac:dyDescent="0.35">
      <c r="A502" s="1">
        <v>46477</v>
      </c>
      <c r="B502" s="2">
        <v>46287</v>
      </c>
      <c r="C502" s="1" t="s">
        <v>9</v>
      </c>
      <c r="D502" s="1">
        <f>IFERROR(VLOOKUP(RIT_FUSIONS[[#This Row],[ID]],RIT_ACUM!A:A,1,0),"NOVO")</f>
        <v>46477</v>
      </c>
    </row>
    <row r="503" spans="1:4" hidden="1" x14ac:dyDescent="0.35">
      <c r="A503" s="1">
        <v>46476</v>
      </c>
      <c r="B503" s="2">
        <v>46287</v>
      </c>
      <c r="C503" s="1" t="s">
        <v>22</v>
      </c>
      <c r="D503" s="1">
        <f>IFERROR(VLOOKUP(RIT_FUSIONS[[#This Row],[ID]],RIT_ACUM!A:A,1,0),"NOVO")</f>
        <v>46476</v>
      </c>
    </row>
    <row r="504" spans="1:4" hidden="1" x14ac:dyDescent="0.35">
      <c r="A504" s="1">
        <v>46475</v>
      </c>
      <c r="B504" s="2">
        <v>46287</v>
      </c>
      <c r="C504" s="1" t="s">
        <v>22</v>
      </c>
      <c r="D504" s="1">
        <f>IFERROR(VLOOKUP(RIT_FUSIONS[[#This Row],[ID]],RIT_ACUM!A:A,1,0),"NOVO")</f>
        <v>46475</v>
      </c>
    </row>
    <row r="505" spans="1:4" hidden="1" x14ac:dyDescent="0.35">
      <c r="A505" s="1">
        <v>46474</v>
      </c>
      <c r="B505" s="2">
        <v>46287</v>
      </c>
      <c r="C505" s="1" t="s">
        <v>22</v>
      </c>
      <c r="D505" s="1">
        <f>IFERROR(VLOOKUP(RIT_FUSIONS[[#This Row],[ID]],RIT_ACUM!A:A,1,0),"NOVO")</f>
        <v>46474</v>
      </c>
    </row>
    <row r="506" spans="1:4" hidden="1" x14ac:dyDescent="0.35">
      <c r="A506" s="1">
        <v>46473</v>
      </c>
      <c r="B506" s="2">
        <v>46287</v>
      </c>
      <c r="C506" s="1" t="s">
        <v>22</v>
      </c>
      <c r="D506" s="1">
        <f>IFERROR(VLOOKUP(RIT_FUSIONS[[#This Row],[ID]],RIT_ACUM!A:A,1,0),"NOVO")</f>
        <v>46473</v>
      </c>
    </row>
    <row r="507" spans="1:4" hidden="1" x14ac:dyDescent="0.35">
      <c r="A507" s="1">
        <v>46472</v>
      </c>
      <c r="B507" s="2">
        <v>46287</v>
      </c>
      <c r="C507" s="1" t="s">
        <v>22</v>
      </c>
      <c r="D507" s="1">
        <f>IFERROR(VLOOKUP(RIT_FUSIONS[[#This Row],[ID]],RIT_ACUM!A:A,1,0),"NOVO")</f>
        <v>46472</v>
      </c>
    </row>
    <row r="508" spans="1:4" hidden="1" x14ac:dyDescent="0.35">
      <c r="A508" s="1">
        <v>46471</v>
      </c>
      <c r="B508" s="2">
        <v>46287</v>
      </c>
      <c r="C508" s="1" t="s">
        <v>22</v>
      </c>
      <c r="D508" s="1">
        <f>IFERROR(VLOOKUP(RIT_FUSIONS[[#This Row],[ID]],RIT_ACUM!A:A,1,0),"NOVO")</f>
        <v>46471</v>
      </c>
    </row>
    <row r="509" spans="1:4" hidden="1" x14ac:dyDescent="0.35">
      <c r="A509" s="1">
        <v>46470</v>
      </c>
      <c r="B509" s="2">
        <v>46287</v>
      </c>
      <c r="C509" s="1" t="s">
        <v>22</v>
      </c>
      <c r="D509" s="1">
        <f>IFERROR(VLOOKUP(RIT_FUSIONS[[#This Row],[ID]],RIT_ACUM!A:A,1,0),"NOVO")</f>
        <v>46470</v>
      </c>
    </row>
    <row r="510" spans="1:4" hidden="1" x14ac:dyDescent="0.35">
      <c r="A510" s="1">
        <v>46469</v>
      </c>
      <c r="B510" s="2">
        <v>46287</v>
      </c>
      <c r="C510" s="1" t="s">
        <v>22</v>
      </c>
      <c r="D510" s="1">
        <f>IFERROR(VLOOKUP(RIT_FUSIONS[[#This Row],[ID]],RIT_ACUM!A:A,1,0),"NOVO")</f>
        <v>46469</v>
      </c>
    </row>
    <row r="511" spans="1:4" hidden="1" x14ac:dyDescent="0.35">
      <c r="A511" s="1">
        <v>46468</v>
      </c>
      <c r="B511" s="2">
        <v>46287</v>
      </c>
      <c r="C511" s="1" t="s">
        <v>22</v>
      </c>
      <c r="D511" s="1">
        <f>IFERROR(VLOOKUP(RIT_FUSIONS[[#This Row],[ID]],RIT_ACUM!A:A,1,0),"NOVO")</f>
        <v>46468</v>
      </c>
    </row>
    <row r="512" spans="1:4" hidden="1" x14ac:dyDescent="0.35">
      <c r="A512" s="1">
        <v>46467</v>
      </c>
      <c r="B512" s="2">
        <v>46287</v>
      </c>
      <c r="C512" s="1" t="s">
        <v>22</v>
      </c>
      <c r="D512" s="1">
        <f>IFERROR(VLOOKUP(RIT_FUSIONS[[#This Row],[ID]],RIT_ACUM!A:A,1,0),"NOVO")</f>
        <v>46467</v>
      </c>
    </row>
    <row r="513" spans="1:4" hidden="1" x14ac:dyDescent="0.35">
      <c r="A513" s="1">
        <v>46466</v>
      </c>
      <c r="B513" s="2">
        <v>46287</v>
      </c>
      <c r="C513" s="1" t="s">
        <v>22</v>
      </c>
      <c r="D513" s="1">
        <f>IFERROR(VLOOKUP(RIT_FUSIONS[[#This Row],[ID]],RIT_ACUM!A:A,1,0),"NOVO")</f>
        <v>46466</v>
      </c>
    </row>
    <row r="514" spans="1:4" hidden="1" x14ac:dyDescent="0.35">
      <c r="A514" s="1">
        <v>46464</v>
      </c>
      <c r="B514" s="2">
        <v>46287</v>
      </c>
      <c r="C514" s="1" t="s">
        <v>22</v>
      </c>
      <c r="D514" s="1">
        <f>IFERROR(VLOOKUP(RIT_FUSIONS[[#This Row],[ID]],RIT_ACUM!A:A,1,0),"NOVO")</f>
        <v>46464</v>
      </c>
    </row>
    <row r="515" spans="1:4" hidden="1" x14ac:dyDescent="0.35">
      <c r="A515" s="1">
        <v>46463</v>
      </c>
      <c r="B515" s="2">
        <v>46287</v>
      </c>
      <c r="C515" s="1" t="s">
        <v>22</v>
      </c>
      <c r="D515" s="1">
        <f>IFERROR(VLOOKUP(RIT_FUSIONS[[#This Row],[ID]],RIT_ACUM!A:A,1,0),"NOVO")</f>
        <v>46463</v>
      </c>
    </row>
    <row r="516" spans="1:4" hidden="1" x14ac:dyDescent="0.35">
      <c r="A516" s="1">
        <v>46462</v>
      </c>
      <c r="B516" s="2">
        <v>46287</v>
      </c>
      <c r="C516" s="1" t="s">
        <v>22</v>
      </c>
      <c r="D516" s="1">
        <f>IFERROR(VLOOKUP(RIT_FUSIONS[[#This Row],[ID]],RIT_ACUM!A:A,1,0),"NOVO")</f>
        <v>46462</v>
      </c>
    </row>
    <row r="517" spans="1:4" hidden="1" x14ac:dyDescent="0.35">
      <c r="A517" s="1">
        <v>46461</v>
      </c>
      <c r="B517" s="2">
        <v>46287</v>
      </c>
      <c r="C517" s="1" t="s">
        <v>22</v>
      </c>
      <c r="D517" s="1">
        <f>IFERROR(VLOOKUP(RIT_FUSIONS[[#This Row],[ID]],RIT_ACUM!A:A,1,0),"NOVO")</f>
        <v>46461</v>
      </c>
    </row>
    <row r="518" spans="1:4" hidden="1" x14ac:dyDescent="0.35">
      <c r="A518" s="1">
        <v>46460</v>
      </c>
      <c r="B518" s="2">
        <v>46287</v>
      </c>
      <c r="C518" s="1" t="s">
        <v>22</v>
      </c>
      <c r="D518" s="1">
        <f>IFERROR(VLOOKUP(RIT_FUSIONS[[#This Row],[ID]],RIT_ACUM!A:A,1,0),"NOVO")</f>
        <v>46460</v>
      </c>
    </row>
    <row r="519" spans="1:4" hidden="1" x14ac:dyDescent="0.35">
      <c r="A519" s="1">
        <v>46459</v>
      </c>
      <c r="B519" s="2">
        <v>46287</v>
      </c>
      <c r="C519" s="1" t="s">
        <v>22</v>
      </c>
      <c r="D519" s="1">
        <f>IFERROR(VLOOKUP(RIT_FUSIONS[[#This Row],[ID]],RIT_ACUM!A:A,1,0),"NOVO")</f>
        <v>46459</v>
      </c>
    </row>
    <row r="520" spans="1:4" hidden="1" x14ac:dyDescent="0.35">
      <c r="A520" s="1">
        <v>46458</v>
      </c>
      <c r="B520" s="2">
        <v>46287</v>
      </c>
      <c r="C520" s="1" t="s">
        <v>22</v>
      </c>
      <c r="D520" s="1">
        <f>IFERROR(VLOOKUP(RIT_FUSIONS[[#This Row],[ID]],RIT_ACUM!A:A,1,0),"NOVO")</f>
        <v>46458</v>
      </c>
    </row>
    <row r="521" spans="1:4" hidden="1" x14ac:dyDescent="0.35">
      <c r="A521" s="1">
        <v>46457</v>
      </c>
      <c r="B521" s="2">
        <v>46287</v>
      </c>
      <c r="C521" s="1" t="s">
        <v>22</v>
      </c>
      <c r="D521" s="1">
        <f>IFERROR(VLOOKUP(RIT_FUSIONS[[#This Row],[ID]],RIT_ACUM!A:A,1,0),"NOVO")</f>
        <v>46457</v>
      </c>
    </row>
    <row r="522" spans="1:4" hidden="1" x14ac:dyDescent="0.35">
      <c r="A522" s="1">
        <v>46456</v>
      </c>
      <c r="B522" s="2">
        <v>46287</v>
      </c>
      <c r="C522" s="1" t="s">
        <v>22</v>
      </c>
      <c r="D522" s="1">
        <f>IFERROR(VLOOKUP(RIT_FUSIONS[[#This Row],[ID]],RIT_ACUM!A:A,1,0),"NOVO")</f>
        <v>46456</v>
      </c>
    </row>
    <row r="523" spans="1:4" hidden="1" x14ac:dyDescent="0.35">
      <c r="A523" s="1">
        <v>46452</v>
      </c>
      <c r="B523" s="2">
        <v>46287</v>
      </c>
      <c r="C523" s="1" t="s">
        <v>7</v>
      </c>
      <c r="D523" s="1">
        <f>IFERROR(VLOOKUP(RIT_FUSIONS[[#This Row],[ID]],RIT_ACUM!A:A,1,0),"NOVO")</f>
        <v>46452</v>
      </c>
    </row>
    <row r="524" spans="1:4" hidden="1" x14ac:dyDescent="0.35">
      <c r="A524" s="1">
        <v>46446</v>
      </c>
      <c r="B524" s="2">
        <v>46287</v>
      </c>
      <c r="C524" s="1" t="s">
        <v>10</v>
      </c>
      <c r="D524" s="1">
        <f>IFERROR(VLOOKUP(RIT_FUSIONS[[#This Row],[ID]],RIT_ACUM!A:A,1,0),"NOVO")</f>
        <v>46446</v>
      </c>
    </row>
    <row r="525" spans="1:4" hidden="1" x14ac:dyDescent="0.35">
      <c r="A525" s="1">
        <v>46445</v>
      </c>
      <c r="B525" s="2">
        <v>46287</v>
      </c>
      <c r="C525" s="1" t="s">
        <v>10</v>
      </c>
      <c r="D525" s="1">
        <f>IFERROR(VLOOKUP(RIT_FUSIONS[[#This Row],[ID]],RIT_ACUM!A:A,1,0),"NOVO")</f>
        <v>46445</v>
      </c>
    </row>
    <row r="526" spans="1:4" hidden="1" x14ac:dyDescent="0.35">
      <c r="A526" s="1">
        <v>46443</v>
      </c>
      <c r="B526" s="2">
        <v>46287</v>
      </c>
      <c r="C526" s="1" t="s">
        <v>3</v>
      </c>
      <c r="D526" s="1">
        <f>IFERROR(VLOOKUP(RIT_FUSIONS[[#This Row],[ID]],RIT_ACUM!A:A,1,0),"NOVO")</f>
        <v>46443</v>
      </c>
    </row>
    <row r="527" spans="1:4" hidden="1" x14ac:dyDescent="0.35">
      <c r="A527" s="1">
        <v>46438</v>
      </c>
      <c r="B527" s="2">
        <v>46287</v>
      </c>
      <c r="C527" s="1" t="s">
        <v>6</v>
      </c>
      <c r="D527" s="1">
        <f>IFERROR(VLOOKUP(RIT_FUSIONS[[#This Row],[ID]],RIT_ACUM!A:A,1,0),"NOVO")</f>
        <v>46438</v>
      </c>
    </row>
    <row r="528" spans="1:4" hidden="1" x14ac:dyDescent="0.35">
      <c r="A528" s="1">
        <v>46437</v>
      </c>
      <c r="B528" s="2">
        <v>46287</v>
      </c>
      <c r="C528" s="1" t="s">
        <v>6</v>
      </c>
      <c r="D528" s="1">
        <f>IFERROR(VLOOKUP(RIT_FUSIONS[[#This Row],[ID]],RIT_ACUM!A:A,1,0),"NOVO")</f>
        <v>46437</v>
      </c>
    </row>
    <row r="529" spans="1:4" hidden="1" x14ac:dyDescent="0.35">
      <c r="A529" s="1">
        <v>46435</v>
      </c>
      <c r="B529" s="2">
        <v>46287</v>
      </c>
      <c r="C529" s="1" t="s">
        <v>3</v>
      </c>
      <c r="D529" s="1">
        <f>IFERROR(VLOOKUP(RIT_FUSIONS[[#This Row],[ID]],RIT_ACUM!A:A,1,0),"NOVO")</f>
        <v>46435</v>
      </c>
    </row>
    <row r="530" spans="1:4" hidden="1" x14ac:dyDescent="0.35">
      <c r="A530" s="1">
        <v>46433</v>
      </c>
      <c r="B530" s="2">
        <v>46287</v>
      </c>
      <c r="C530" s="1" t="s">
        <v>8</v>
      </c>
      <c r="D530" s="1">
        <f>IFERROR(VLOOKUP(RIT_FUSIONS[[#This Row],[ID]],RIT_ACUM!A:A,1,0),"NOVO")</f>
        <v>46433</v>
      </c>
    </row>
    <row r="531" spans="1:4" hidden="1" x14ac:dyDescent="0.35">
      <c r="A531" s="1">
        <v>46432</v>
      </c>
      <c r="B531" s="2">
        <v>46287</v>
      </c>
      <c r="C531" s="1" t="s">
        <v>19</v>
      </c>
      <c r="D531" s="1">
        <f>IFERROR(VLOOKUP(RIT_FUSIONS[[#This Row],[ID]],RIT_ACUM!A:A,1,0),"NOVO")</f>
        <v>46432</v>
      </c>
    </row>
    <row r="532" spans="1:4" hidden="1" x14ac:dyDescent="0.35">
      <c r="A532" s="1">
        <v>46431</v>
      </c>
      <c r="B532" s="2">
        <v>46287</v>
      </c>
      <c r="C532" s="1" t="s">
        <v>8</v>
      </c>
      <c r="D532" s="1">
        <f>IFERROR(VLOOKUP(RIT_FUSIONS[[#This Row],[ID]],RIT_ACUM!A:A,1,0),"NOVO")</f>
        <v>46431</v>
      </c>
    </row>
    <row r="533" spans="1:4" hidden="1" x14ac:dyDescent="0.35">
      <c r="A533" s="1">
        <v>46429</v>
      </c>
      <c r="B533" s="2">
        <v>46287</v>
      </c>
      <c r="C533" s="1" t="s">
        <v>3</v>
      </c>
      <c r="D533" s="1">
        <f>IFERROR(VLOOKUP(RIT_FUSIONS[[#This Row],[ID]],RIT_ACUM!A:A,1,0),"NOVO")</f>
        <v>46429</v>
      </c>
    </row>
    <row r="534" spans="1:4" hidden="1" x14ac:dyDescent="0.35">
      <c r="A534" s="1">
        <v>46428</v>
      </c>
      <c r="B534" s="2">
        <v>46287</v>
      </c>
      <c r="C534" s="1" t="s">
        <v>9</v>
      </c>
      <c r="D534" s="1">
        <f>IFERROR(VLOOKUP(RIT_FUSIONS[[#This Row],[ID]],RIT_ACUM!A:A,1,0),"NOVO")</f>
        <v>46428</v>
      </c>
    </row>
    <row r="535" spans="1:4" hidden="1" x14ac:dyDescent="0.35">
      <c r="A535" s="1">
        <v>46427</v>
      </c>
      <c r="B535" s="2">
        <v>46287</v>
      </c>
      <c r="C535" s="1" t="s">
        <v>4</v>
      </c>
      <c r="D535" s="1">
        <f>IFERROR(VLOOKUP(RIT_FUSIONS[[#This Row],[ID]],RIT_ACUM!A:A,1,0),"NOVO")</f>
        <v>46427</v>
      </c>
    </row>
    <row r="536" spans="1:4" hidden="1" x14ac:dyDescent="0.35">
      <c r="A536" s="1">
        <v>46426</v>
      </c>
      <c r="B536" s="2">
        <v>46287</v>
      </c>
      <c r="C536" s="1" t="s">
        <v>19</v>
      </c>
      <c r="D536" s="1">
        <f>IFERROR(VLOOKUP(RIT_FUSIONS[[#This Row],[ID]],RIT_ACUM!A:A,1,0),"NOVO")</f>
        <v>46426</v>
      </c>
    </row>
    <row r="537" spans="1:4" hidden="1" x14ac:dyDescent="0.35">
      <c r="A537" s="1">
        <v>46425</v>
      </c>
      <c r="B537" s="2">
        <v>46287</v>
      </c>
      <c r="C537" s="1" t="s">
        <v>19</v>
      </c>
      <c r="D537" s="1">
        <f>IFERROR(VLOOKUP(RIT_FUSIONS[[#This Row],[ID]],RIT_ACUM!A:A,1,0),"NOVO")</f>
        <v>46425</v>
      </c>
    </row>
    <row r="538" spans="1:4" hidden="1" x14ac:dyDescent="0.35">
      <c r="A538" s="1">
        <v>46424</v>
      </c>
      <c r="B538" s="2">
        <v>46287</v>
      </c>
      <c r="C538" s="1" t="s">
        <v>9</v>
      </c>
      <c r="D538" s="1">
        <f>IFERROR(VLOOKUP(RIT_FUSIONS[[#This Row],[ID]],RIT_ACUM!A:A,1,0),"NOVO")</f>
        <v>46424</v>
      </c>
    </row>
    <row r="539" spans="1:4" hidden="1" x14ac:dyDescent="0.35">
      <c r="A539" s="1">
        <v>46423</v>
      </c>
      <c r="B539" s="2">
        <v>46287</v>
      </c>
      <c r="C539" s="1" t="s">
        <v>4</v>
      </c>
      <c r="D539" s="1">
        <f>IFERROR(VLOOKUP(RIT_FUSIONS[[#This Row],[ID]],RIT_ACUM!A:A,1,0),"NOVO")</f>
        <v>46423</v>
      </c>
    </row>
    <row r="540" spans="1:4" hidden="1" x14ac:dyDescent="0.35">
      <c r="A540" s="1">
        <v>46421</v>
      </c>
      <c r="B540" s="2">
        <v>46287</v>
      </c>
      <c r="C540" s="1" t="s">
        <v>19</v>
      </c>
      <c r="D540" s="1">
        <f>IFERROR(VLOOKUP(RIT_FUSIONS[[#This Row],[ID]],RIT_ACUM!A:A,1,0),"NOVO")</f>
        <v>46421</v>
      </c>
    </row>
    <row r="541" spans="1:4" hidden="1" x14ac:dyDescent="0.35">
      <c r="A541" s="1">
        <v>46420</v>
      </c>
      <c r="B541" s="2">
        <v>46287</v>
      </c>
      <c r="C541" s="1" t="s">
        <v>3</v>
      </c>
      <c r="D541" s="1">
        <f>IFERROR(VLOOKUP(RIT_FUSIONS[[#This Row],[ID]],RIT_ACUM!A:A,1,0),"NOVO")</f>
        <v>46420</v>
      </c>
    </row>
    <row r="542" spans="1:4" hidden="1" x14ac:dyDescent="0.35">
      <c r="A542" s="1">
        <v>46419</v>
      </c>
      <c r="B542" s="2">
        <v>46286</v>
      </c>
      <c r="C542" s="1" t="s">
        <v>10</v>
      </c>
      <c r="D542" s="1">
        <f>IFERROR(VLOOKUP(RIT_FUSIONS[[#This Row],[ID]],RIT_ACUM!A:A,1,0),"NOVO")</f>
        <v>46419</v>
      </c>
    </row>
    <row r="543" spans="1:4" hidden="1" x14ac:dyDescent="0.35">
      <c r="A543" s="1">
        <v>46418</v>
      </c>
      <c r="B543" s="2">
        <v>46286</v>
      </c>
      <c r="C543" s="1" t="s">
        <v>10</v>
      </c>
      <c r="D543" s="1">
        <f>IFERROR(VLOOKUP(RIT_FUSIONS[[#This Row],[ID]],RIT_ACUM!A:A,1,0),"NOVO")</f>
        <v>46418</v>
      </c>
    </row>
    <row r="544" spans="1:4" hidden="1" x14ac:dyDescent="0.35">
      <c r="A544" s="1">
        <v>46417</v>
      </c>
      <c r="B544" s="2">
        <v>46286</v>
      </c>
      <c r="C544" s="1" t="s">
        <v>11</v>
      </c>
      <c r="D544" s="1">
        <f>IFERROR(VLOOKUP(RIT_FUSIONS[[#This Row],[ID]],RIT_ACUM!A:A,1,0),"NOVO")</f>
        <v>46417</v>
      </c>
    </row>
    <row r="545" spans="1:4" hidden="1" x14ac:dyDescent="0.35">
      <c r="A545" s="1">
        <v>46416</v>
      </c>
      <c r="B545" s="2">
        <v>46286</v>
      </c>
      <c r="C545" s="1" t="s">
        <v>11</v>
      </c>
      <c r="D545" s="1">
        <f>IFERROR(VLOOKUP(RIT_FUSIONS[[#This Row],[ID]],RIT_ACUM!A:A,1,0),"NOVO")</f>
        <v>46416</v>
      </c>
    </row>
    <row r="546" spans="1:4" hidden="1" x14ac:dyDescent="0.35">
      <c r="A546" s="1">
        <v>46408</v>
      </c>
      <c r="B546" s="2">
        <v>46286</v>
      </c>
      <c r="C546" s="1" t="s">
        <v>23</v>
      </c>
      <c r="D546" s="1">
        <f>IFERROR(VLOOKUP(RIT_FUSIONS[[#This Row],[ID]],RIT_ACUM!A:A,1,0),"NOVO")</f>
        <v>46408</v>
      </c>
    </row>
    <row r="547" spans="1:4" hidden="1" x14ac:dyDescent="0.35">
      <c r="A547" s="1">
        <v>46407</v>
      </c>
      <c r="B547" s="2">
        <v>46286</v>
      </c>
      <c r="C547" s="1" t="s">
        <v>23</v>
      </c>
      <c r="D547" s="1">
        <f>IFERROR(VLOOKUP(RIT_FUSIONS[[#This Row],[ID]],RIT_ACUM!A:A,1,0),"NOVO")</f>
        <v>46407</v>
      </c>
    </row>
    <row r="548" spans="1:4" hidden="1" x14ac:dyDescent="0.35">
      <c r="A548" s="1">
        <v>46406</v>
      </c>
      <c r="B548" s="2">
        <v>46286</v>
      </c>
      <c r="C548" s="1" t="s">
        <v>6</v>
      </c>
      <c r="D548" s="1">
        <f>IFERROR(VLOOKUP(RIT_FUSIONS[[#This Row],[ID]],RIT_ACUM!A:A,1,0),"NOVO")</f>
        <v>46406</v>
      </c>
    </row>
    <row r="549" spans="1:4" hidden="1" x14ac:dyDescent="0.35">
      <c r="A549" s="1">
        <v>46405</v>
      </c>
      <c r="B549" s="2">
        <v>46286</v>
      </c>
      <c r="C549" s="1" t="s">
        <v>6</v>
      </c>
      <c r="D549" s="1">
        <f>IFERROR(VLOOKUP(RIT_FUSIONS[[#This Row],[ID]],RIT_ACUM!A:A,1,0),"NOVO")</f>
        <v>46405</v>
      </c>
    </row>
    <row r="550" spans="1:4" hidden="1" x14ac:dyDescent="0.35">
      <c r="A550" s="1">
        <v>46404</v>
      </c>
      <c r="B550" s="2">
        <v>46286</v>
      </c>
      <c r="C550" s="1" t="s">
        <v>9</v>
      </c>
      <c r="D550" s="1">
        <f>IFERROR(VLOOKUP(RIT_FUSIONS[[#This Row],[ID]],RIT_ACUM!A:A,1,0),"NOVO")</f>
        <v>46404</v>
      </c>
    </row>
    <row r="551" spans="1:4" hidden="1" x14ac:dyDescent="0.35">
      <c r="A551" s="1">
        <v>46403</v>
      </c>
      <c r="B551" s="2">
        <v>46286</v>
      </c>
      <c r="C551" s="1" t="s">
        <v>9</v>
      </c>
      <c r="D551" s="1">
        <f>IFERROR(VLOOKUP(RIT_FUSIONS[[#This Row],[ID]],RIT_ACUM!A:A,1,0),"NOVO")</f>
        <v>46403</v>
      </c>
    </row>
    <row r="552" spans="1:4" hidden="1" x14ac:dyDescent="0.35">
      <c r="A552" s="1">
        <v>46402</v>
      </c>
      <c r="B552" s="2">
        <v>46286</v>
      </c>
      <c r="C552" s="1" t="s">
        <v>9</v>
      </c>
      <c r="D552" s="1">
        <f>IFERROR(VLOOKUP(RIT_FUSIONS[[#This Row],[ID]],RIT_ACUM!A:A,1,0),"NOVO")</f>
        <v>46402</v>
      </c>
    </row>
    <row r="553" spans="1:4" hidden="1" x14ac:dyDescent="0.35">
      <c r="A553" s="1">
        <v>46401</v>
      </c>
      <c r="B553" s="2">
        <v>46286</v>
      </c>
      <c r="C553" s="1" t="s">
        <v>3</v>
      </c>
      <c r="D553" s="1">
        <f>IFERROR(VLOOKUP(RIT_FUSIONS[[#This Row],[ID]],RIT_ACUM!A:A,1,0),"NOVO")</f>
        <v>46401</v>
      </c>
    </row>
    <row r="554" spans="1:4" hidden="1" x14ac:dyDescent="0.35">
      <c r="A554" s="1">
        <v>46399</v>
      </c>
      <c r="B554" s="2">
        <v>46286</v>
      </c>
      <c r="C554" s="1" t="s">
        <v>3</v>
      </c>
      <c r="D554" s="1">
        <f>IFERROR(VLOOKUP(RIT_FUSIONS[[#This Row],[ID]],RIT_ACUM!A:A,1,0),"NOVO")</f>
        <v>46399</v>
      </c>
    </row>
    <row r="555" spans="1:4" hidden="1" x14ac:dyDescent="0.35">
      <c r="A555" s="1">
        <v>46398</v>
      </c>
      <c r="B555" s="2">
        <v>46286</v>
      </c>
      <c r="C555" s="1" t="s">
        <v>3</v>
      </c>
      <c r="D555" s="1">
        <f>IFERROR(VLOOKUP(RIT_FUSIONS[[#This Row],[ID]],RIT_ACUM!A:A,1,0),"NOVO")</f>
        <v>46398</v>
      </c>
    </row>
    <row r="556" spans="1:4" hidden="1" x14ac:dyDescent="0.35">
      <c r="A556" s="1">
        <v>46395</v>
      </c>
      <c r="B556" s="2">
        <v>46286</v>
      </c>
      <c r="C556" s="1" t="s">
        <v>7</v>
      </c>
      <c r="D556" s="1">
        <f>IFERROR(VLOOKUP(RIT_FUSIONS[[#This Row],[ID]],RIT_ACUM!A:A,1,0),"NOVO")</f>
        <v>46395</v>
      </c>
    </row>
    <row r="557" spans="1:4" hidden="1" x14ac:dyDescent="0.35">
      <c r="A557" s="1">
        <v>46393</v>
      </c>
      <c r="B557" s="2">
        <v>46286</v>
      </c>
      <c r="C557" s="1" t="s">
        <v>21</v>
      </c>
      <c r="D557" s="1">
        <f>IFERROR(VLOOKUP(RIT_FUSIONS[[#This Row],[ID]],RIT_ACUM!A:A,1,0),"NOVO")</f>
        <v>46393</v>
      </c>
    </row>
    <row r="558" spans="1:4" hidden="1" x14ac:dyDescent="0.35">
      <c r="A558" s="1">
        <v>46391</v>
      </c>
      <c r="B558" s="2">
        <v>46286</v>
      </c>
      <c r="C558" s="1" t="s">
        <v>21</v>
      </c>
      <c r="D558" s="1">
        <f>IFERROR(VLOOKUP(RIT_FUSIONS[[#This Row],[ID]],RIT_ACUM!A:A,1,0),"NOVO")</f>
        <v>46391</v>
      </c>
    </row>
    <row r="559" spans="1:4" hidden="1" x14ac:dyDescent="0.35">
      <c r="A559" s="1">
        <v>46390</v>
      </c>
      <c r="B559" s="2">
        <v>46286</v>
      </c>
      <c r="C559" s="1" t="s">
        <v>20</v>
      </c>
      <c r="D559" s="1">
        <f>IFERROR(VLOOKUP(RIT_FUSIONS[[#This Row],[ID]],RIT_ACUM!A:A,1,0),"NOVO")</f>
        <v>46390</v>
      </c>
    </row>
    <row r="560" spans="1:4" hidden="1" x14ac:dyDescent="0.35">
      <c r="A560" s="1">
        <v>46389</v>
      </c>
      <c r="B560" s="2">
        <v>46286</v>
      </c>
      <c r="C560" s="1" t="s">
        <v>20</v>
      </c>
      <c r="D560" s="1">
        <f>IFERROR(VLOOKUP(RIT_FUSIONS[[#This Row],[ID]],RIT_ACUM!A:A,1,0),"NOVO")</f>
        <v>46389</v>
      </c>
    </row>
    <row r="561" spans="1:4" hidden="1" x14ac:dyDescent="0.35">
      <c r="A561" s="1">
        <v>46388</v>
      </c>
      <c r="B561" s="2">
        <v>46286</v>
      </c>
      <c r="C561" s="1" t="s">
        <v>8</v>
      </c>
      <c r="D561" s="1">
        <f>IFERROR(VLOOKUP(RIT_FUSIONS[[#This Row],[ID]],RIT_ACUM!A:A,1,0),"NOVO")</f>
        <v>46388</v>
      </c>
    </row>
    <row r="562" spans="1:4" hidden="1" x14ac:dyDescent="0.35">
      <c r="A562" s="1">
        <v>46387</v>
      </c>
      <c r="B562" s="2">
        <v>46286</v>
      </c>
      <c r="C562" s="1" t="s">
        <v>8</v>
      </c>
      <c r="D562" s="1">
        <f>IFERROR(VLOOKUP(RIT_FUSIONS[[#This Row],[ID]],RIT_ACUM!A:A,1,0),"NOVO")</f>
        <v>46387</v>
      </c>
    </row>
    <row r="563" spans="1:4" hidden="1" x14ac:dyDescent="0.35">
      <c r="A563" s="1">
        <v>46386</v>
      </c>
      <c r="B563" s="2">
        <v>46285</v>
      </c>
      <c r="C563" s="1" t="s">
        <v>17</v>
      </c>
      <c r="D563" s="1">
        <f>IFERROR(VLOOKUP(RIT_FUSIONS[[#This Row],[ID]],RIT_ACUM!A:A,1,0),"NOVO")</f>
        <v>46386</v>
      </c>
    </row>
    <row r="564" spans="1:4" hidden="1" x14ac:dyDescent="0.35">
      <c r="A564" s="1">
        <v>46385</v>
      </c>
      <c r="B564" s="2">
        <v>46285</v>
      </c>
      <c r="C564" s="1" t="s">
        <v>17</v>
      </c>
      <c r="D564" s="1">
        <f>IFERROR(VLOOKUP(RIT_FUSIONS[[#This Row],[ID]],RIT_ACUM!A:A,1,0),"NOVO")</f>
        <v>46385</v>
      </c>
    </row>
    <row r="565" spans="1:4" hidden="1" x14ac:dyDescent="0.35">
      <c r="A565" s="1">
        <v>46384</v>
      </c>
      <c r="B565" s="2">
        <v>46284</v>
      </c>
      <c r="C565" s="1" t="s">
        <v>23</v>
      </c>
      <c r="D565" s="1">
        <f>IFERROR(VLOOKUP(RIT_FUSIONS[[#This Row],[ID]],RIT_ACUM!A:A,1,0),"NOVO")</f>
        <v>46384</v>
      </c>
    </row>
    <row r="566" spans="1:4" hidden="1" x14ac:dyDescent="0.35">
      <c r="A566" s="1">
        <v>46382</v>
      </c>
      <c r="B566" s="2">
        <v>46284</v>
      </c>
      <c r="C566" s="1" t="s">
        <v>10</v>
      </c>
      <c r="D566" s="1">
        <f>IFERROR(VLOOKUP(RIT_FUSIONS[[#This Row],[ID]],RIT_ACUM!A:A,1,0),"NOVO")</f>
        <v>46382</v>
      </c>
    </row>
    <row r="567" spans="1:4" hidden="1" x14ac:dyDescent="0.35">
      <c r="A567" s="1">
        <v>46381</v>
      </c>
      <c r="B567" s="2">
        <v>46284</v>
      </c>
      <c r="C567" s="1" t="s">
        <v>10</v>
      </c>
      <c r="D567" s="1">
        <f>IFERROR(VLOOKUP(RIT_FUSIONS[[#This Row],[ID]],RIT_ACUM!A:A,1,0),"NOVO")</f>
        <v>46381</v>
      </c>
    </row>
    <row r="568" spans="1:4" hidden="1" x14ac:dyDescent="0.35">
      <c r="A568" s="1">
        <v>46371</v>
      </c>
      <c r="B568" s="2">
        <v>46284</v>
      </c>
      <c r="C568" s="1" t="s">
        <v>8</v>
      </c>
      <c r="D568" s="1">
        <f>IFERROR(VLOOKUP(RIT_FUSIONS[[#This Row],[ID]],RIT_ACUM!A:A,1,0),"NOVO")</f>
        <v>46371</v>
      </c>
    </row>
    <row r="569" spans="1:4" hidden="1" x14ac:dyDescent="0.35">
      <c r="A569" s="1">
        <v>46370</v>
      </c>
      <c r="B569" s="2">
        <v>46284</v>
      </c>
      <c r="C569" s="1" t="s">
        <v>8</v>
      </c>
      <c r="D569" s="1">
        <f>IFERROR(VLOOKUP(RIT_FUSIONS[[#This Row],[ID]],RIT_ACUM!A:A,1,0),"NOVO")</f>
        <v>46370</v>
      </c>
    </row>
    <row r="570" spans="1:4" hidden="1" x14ac:dyDescent="0.35">
      <c r="A570" s="1">
        <v>46369</v>
      </c>
      <c r="B570" s="2">
        <v>46283</v>
      </c>
      <c r="C570" s="1" t="s">
        <v>10</v>
      </c>
      <c r="D570" s="1">
        <f>IFERROR(VLOOKUP(RIT_FUSIONS[[#This Row],[ID]],RIT_ACUM!A:A,1,0),"NOVO")</f>
        <v>46369</v>
      </c>
    </row>
    <row r="571" spans="1:4" hidden="1" x14ac:dyDescent="0.35">
      <c r="A571" s="1">
        <v>46368</v>
      </c>
      <c r="B571" s="2">
        <v>46283</v>
      </c>
      <c r="C571" s="1" t="s">
        <v>10</v>
      </c>
      <c r="D571" s="1">
        <f>IFERROR(VLOOKUP(RIT_FUSIONS[[#This Row],[ID]],RIT_ACUM!A:A,1,0),"NOVO")</f>
        <v>46368</v>
      </c>
    </row>
    <row r="572" spans="1:4" hidden="1" x14ac:dyDescent="0.35">
      <c r="A572" s="1">
        <v>46367</v>
      </c>
      <c r="B572" s="2">
        <v>46283</v>
      </c>
      <c r="C572" s="1" t="s">
        <v>17</v>
      </c>
      <c r="D572" s="1">
        <f>IFERROR(VLOOKUP(RIT_FUSIONS[[#This Row],[ID]],RIT_ACUM!A:A,1,0),"NOVO")</f>
        <v>46367</v>
      </c>
    </row>
    <row r="573" spans="1:4" hidden="1" x14ac:dyDescent="0.35">
      <c r="A573" s="1">
        <v>46366</v>
      </c>
      <c r="B573" s="2">
        <v>46283</v>
      </c>
      <c r="C573" s="1" t="s">
        <v>17</v>
      </c>
      <c r="D573" s="1">
        <f>IFERROR(VLOOKUP(RIT_FUSIONS[[#This Row],[ID]],RIT_ACUM!A:A,1,0),"NOVO")</f>
        <v>46366</v>
      </c>
    </row>
    <row r="574" spans="1:4" hidden="1" x14ac:dyDescent="0.35">
      <c r="A574" s="1">
        <v>46365</v>
      </c>
      <c r="B574" s="2">
        <v>46283</v>
      </c>
      <c r="C574" s="1" t="s">
        <v>4</v>
      </c>
      <c r="D574" s="1">
        <f>IFERROR(VLOOKUP(RIT_FUSIONS[[#This Row],[ID]],RIT_ACUM!A:A,1,0),"NOVO")</f>
        <v>46365</v>
      </c>
    </row>
    <row r="575" spans="1:4" hidden="1" x14ac:dyDescent="0.35">
      <c r="A575" s="1">
        <v>46364</v>
      </c>
      <c r="B575" s="2">
        <v>46283</v>
      </c>
      <c r="C575" s="1" t="s">
        <v>4</v>
      </c>
      <c r="D575" s="1">
        <f>IFERROR(VLOOKUP(RIT_FUSIONS[[#This Row],[ID]],RIT_ACUM!A:A,1,0),"NOVO")</f>
        <v>46364</v>
      </c>
    </row>
    <row r="576" spans="1:4" hidden="1" x14ac:dyDescent="0.35">
      <c r="A576" s="1">
        <v>46360</v>
      </c>
      <c r="B576" s="2">
        <v>46283</v>
      </c>
      <c r="C576" s="1" t="s">
        <v>3</v>
      </c>
      <c r="D576" s="1">
        <f>IFERROR(VLOOKUP(RIT_FUSIONS[[#This Row],[ID]],RIT_ACUM!A:A,1,0),"NOVO")</f>
        <v>46360</v>
      </c>
    </row>
    <row r="577" spans="1:4" hidden="1" x14ac:dyDescent="0.35">
      <c r="A577" s="1">
        <v>46355</v>
      </c>
      <c r="B577" s="2">
        <v>46283</v>
      </c>
      <c r="C577" s="1" t="s">
        <v>3</v>
      </c>
      <c r="D577" s="1">
        <f>IFERROR(VLOOKUP(RIT_FUSIONS[[#This Row],[ID]],RIT_ACUM!A:A,1,0),"NOVO")</f>
        <v>46355</v>
      </c>
    </row>
    <row r="578" spans="1:4" hidden="1" x14ac:dyDescent="0.35">
      <c r="A578" s="1">
        <v>46354</v>
      </c>
      <c r="B578" s="2">
        <v>46283</v>
      </c>
      <c r="C578" s="1" t="s">
        <v>23</v>
      </c>
      <c r="D578" s="1">
        <f>IFERROR(VLOOKUP(RIT_FUSIONS[[#This Row],[ID]],RIT_ACUM!A:A,1,0),"NOVO")</f>
        <v>46354</v>
      </c>
    </row>
    <row r="579" spans="1:4" hidden="1" x14ac:dyDescent="0.35">
      <c r="A579" s="1">
        <v>46353</v>
      </c>
      <c r="B579" s="2">
        <v>46283</v>
      </c>
      <c r="C579" s="1" t="s">
        <v>23</v>
      </c>
      <c r="D579" s="1">
        <f>IFERROR(VLOOKUP(RIT_FUSIONS[[#This Row],[ID]],RIT_ACUM!A:A,1,0),"NOVO")</f>
        <v>46353</v>
      </c>
    </row>
    <row r="580" spans="1:4" hidden="1" x14ac:dyDescent="0.35">
      <c r="A580" s="1">
        <v>46352</v>
      </c>
      <c r="B580" s="2">
        <v>46283</v>
      </c>
      <c r="C580" s="1" t="s">
        <v>3</v>
      </c>
      <c r="D580" s="1">
        <f>IFERROR(VLOOKUP(RIT_FUSIONS[[#This Row],[ID]],RIT_ACUM!A:A,1,0),"NOVO")</f>
        <v>46352</v>
      </c>
    </row>
    <row r="581" spans="1:4" hidden="1" x14ac:dyDescent="0.35">
      <c r="A581" s="1">
        <v>46350</v>
      </c>
      <c r="B581" s="2">
        <v>46283</v>
      </c>
      <c r="C581" s="1" t="s">
        <v>7</v>
      </c>
      <c r="D581" s="1">
        <f>IFERROR(VLOOKUP(RIT_FUSIONS[[#This Row],[ID]],RIT_ACUM!A:A,1,0),"NOVO")</f>
        <v>46350</v>
      </c>
    </row>
    <row r="582" spans="1:4" hidden="1" x14ac:dyDescent="0.35">
      <c r="A582" s="1">
        <v>46349</v>
      </c>
      <c r="B582" s="2">
        <v>46283</v>
      </c>
      <c r="C582" s="1" t="s">
        <v>7</v>
      </c>
      <c r="D582" s="1">
        <f>IFERROR(VLOOKUP(RIT_FUSIONS[[#This Row],[ID]],RIT_ACUM!A:A,1,0),"NOVO")</f>
        <v>46349</v>
      </c>
    </row>
    <row r="583" spans="1:4" hidden="1" x14ac:dyDescent="0.35">
      <c r="A583" s="1">
        <v>46347</v>
      </c>
      <c r="B583" s="2">
        <v>46283</v>
      </c>
      <c r="C583" s="1" t="s">
        <v>19</v>
      </c>
      <c r="D583" s="1">
        <f>IFERROR(VLOOKUP(RIT_FUSIONS[[#This Row],[ID]],RIT_ACUM!A:A,1,0),"NOVO")</f>
        <v>46347</v>
      </c>
    </row>
    <row r="584" spans="1:4" hidden="1" x14ac:dyDescent="0.35">
      <c r="A584" s="1">
        <v>46346</v>
      </c>
      <c r="B584" s="2">
        <v>46283</v>
      </c>
      <c r="C584" s="1" t="s">
        <v>9</v>
      </c>
      <c r="D584" s="1">
        <f>IFERROR(VLOOKUP(RIT_FUSIONS[[#This Row],[ID]],RIT_ACUM!A:A,1,0),"NOVO")</f>
        <v>46346</v>
      </c>
    </row>
    <row r="585" spans="1:4" hidden="1" x14ac:dyDescent="0.35">
      <c r="A585" s="1">
        <v>46344</v>
      </c>
      <c r="B585" s="2">
        <v>46283</v>
      </c>
      <c r="C585" s="1" t="s">
        <v>3</v>
      </c>
      <c r="D585" s="1">
        <f>IFERROR(VLOOKUP(RIT_FUSIONS[[#This Row],[ID]],RIT_ACUM!A:A,1,0),"NOVO")</f>
        <v>46344</v>
      </c>
    </row>
    <row r="586" spans="1:4" hidden="1" x14ac:dyDescent="0.35">
      <c r="A586" s="1">
        <v>46342</v>
      </c>
      <c r="B586" s="2">
        <v>46283</v>
      </c>
      <c r="C586" s="1" t="s">
        <v>8</v>
      </c>
      <c r="D586" s="1">
        <f>IFERROR(VLOOKUP(RIT_FUSIONS[[#This Row],[ID]],RIT_ACUM!A:A,1,0),"NOVO")</f>
        <v>46342</v>
      </c>
    </row>
    <row r="587" spans="1:4" hidden="1" x14ac:dyDescent="0.35">
      <c r="A587" s="1">
        <v>46341</v>
      </c>
      <c r="B587" s="2">
        <v>46283</v>
      </c>
      <c r="C587" s="1" t="s">
        <v>8</v>
      </c>
      <c r="D587" s="1">
        <f>IFERROR(VLOOKUP(RIT_FUSIONS[[#This Row],[ID]],RIT_ACUM!A:A,1,0),"NOVO")</f>
        <v>46341</v>
      </c>
    </row>
    <row r="588" spans="1:4" hidden="1" x14ac:dyDescent="0.35">
      <c r="A588" s="1">
        <v>46340</v>
      </c>
      <c r="B588" s="2">
        <v>46283</v>
      </c>
      <c r="C588" s="1" t="s">
        <v>3</v>
      </c>
      <c r="D588" s="1">
        <f>IFERROR(VLOOKUP(RIT_FUSIONS[[#This Row],[ID]],RIT_ACUM!A:A,1,0),"NOVO")</f>
        <v>46340</v>
      </c>
    </row>
    <row r="589" spans="1:4" hidden="1" x14ac:dyDescent="0.35">
      <c r="A589" s="1">
        <v>46339</v>
      </c>
      <c r="B589" s="2">
        <v>46283</v>
      </c>
      <c r="C589" s="1" t="s">
        <v>3</v>
      </c>
      <c r="D589" s="1">
        <f>IFERROR(VLOOKUP(RIT_FUSIONS[[#This Row],[ID]],RIT_ACUM!A:A,1,0),"NOVO")</f>
        <v>46339</v>
      </c>
    </row>
    <row r="590" spans="1:4" hidden="1" x14ac:dyDescent="0.35">
      <c r="A590" s="1">
        <v>46338</v>
      </c>
      <c r="B590" s="2">
        <v>46282</v>
      </c>
      <c r="C590" s="1" t="s">
        <v>11</v>
      </c>
      <c r="D590" s="1">
        <f>IFERROR(VLOOKUP(RIT_FUSIONS[[#This Row],[ID]],RIT_ACUM!A:A,1,0),"NOVO")</f>
        <v>46338</v>
      </c>
    </row>
    <row r="591" spans="1:4" hidden="1" x14ac:dyDescent="0.35">
      <c r="A591" s="1">
        <v>46337</v>
      </c>
      <c r="B591" s="2">
        <v>46282</v>
      </c>
      <c r="C591" s="1" t="s">
        <v>11</v>
      </c>
      <c r="D591" s="1">
        <f>IFERROR(VLOOKUP(RIT_FUSIONS[[#This Row],[ID]],RIT_ACUM!A:A,1,0),"NOVO")</f>
        <v>46337</v>
      </c>
    </row>
    <row r="592" spans="1:4" hidden="1" x14ac:dyDescent="0.35">
      <c r="A592" s="1">
        <v>46336</v>
      </c>
      <c r="B592" s="2">
        <v>46282</v>
      </c>
      <c r="C592" s="1" t="s">
        <v>20</v>
      </c>
      <c r="D592" s="1">
        <f>IFERROR(VLOOKUP(RIT_FUSIONS[[#This Row],[ID]],RIT_ACUM!A:A,1,0),"NOVO")</f>
        <v>46336</v>
      </c>
    </row>
    <row r="593" spans="1:4" hidden="1" x14ac:dyDescent="0.35">
      <c r="A593" s="1">
        <v>46335</v>
      </c>
      <c r="B593" s="2">
        <v>46282</v>
      </c>
      <c r="C593" s="1" t="s">
        <v>20</v>
      </c>
      <c r="D593" s="1">
        <f>IFERROR(VLOOKUP(RIT_FUSIONS[[#This Row],[ID]],RIT_ACUM!A:A,1,0),"NOVO")</f>
        <v>46335</v>
      </c>
    </row>
    <row r="594" spans="1:4" hidden="1" x14ac:dyDescent="0.35">
      <c r="A594" s="1">
        <v>46334</v>
      </c>
      <c r="B594" s="2">
        <v>46282</v>
      </c>
      <c r="C594" s="1" t="s">
        <v>23</v>
      </c>
      <c r="D594" s="1">
        <f>IFERROR(VLOOKUP(RIT_FUSIONS[[#This Row],[ID]],RIT_ACUM!A:A,1,0),"NOVO")</f>
        <v>46334</v>
      </c>
    </row>
    <row r="595" spans="1:4" hidden="1" x14ac:dyDescent="0.35">
      <c r="A595" s="1">
        <v>46333</v>
      </c>
      <c r="B595" s="2">
        <v>46282</v>
      </c>
      <c r="C595" s="1" t="s">
        <v>23</v>
      </c>
      <c r="D595" s="1">
        <f>IFERROR(VLOOKUP(RIT_FUSIONS[[#This Row],[ID]],RIT_ACUM!A:A,1,0),"NOVO")</f>
        <v>46333</v>
      </c>
    </row>
    <row r="596" spans="1:4" hidden="1" x14ac:dyDescent="0.35">
      <c r="A596" s="1">
        <v>46329</v>
      </c>
      <c r="B596" s="2">
        <v>46282</v>
      </c>
      <c r="C596" s="1" t="s">
        <v>24</v>
      </c>
      <c r="D596" s="1">
        <f>IFERROR(VLOOKUP(RIT_FUSIONS[[#This Row],[ID]],RIT_ACUM!A:A,1,0),"NOVO")</f>
        <v>46329</v>
      </c>
    </row>
    <row r="597" spans="1:4" hidden="1" x14ac:dyDescent="0.35">
      <c r="A597" s="1">
        <v>46328</v>
      </c>
      <c r="B597" s="2">
        <v>46282</v>
      </c>
      <c r="C597" s="1" t="s">
        <v>24</v>
      </c>
      <c r="D597" s="1">
        <f>IFERROR(VLOOKUP(RIT_FUSIONS[[#This Row],[ID]],RIT_ACUM!A:A,1,0),"NOVO")</f>
        <v>46328</v>
      </c>
    </row>
    <row r="598" spans="1:4" hidden="1" x14ac:dyDescent="0.35">
      <c r="A598" s="1">
        <v>46327</v>
      </c>
      <c r="B598" s="2">
        <v>46282</v>
      </c>
      <c r="C598" s="1" t="s">
        <v>24</v>
      </c>
      <c r="D598" s="1">
        <f>IFERROR(VLOOKUP(RIT_FUSIONS[[#This Row],[ID]],RIT_ACUM!A:A,1,0),"NOVO")</f>
        <v>46327</v>
      </c>
    </row>
    <row r="599" spans="1:4" hidden="1" x14ac:dyDescent="0.35">
      <c r="A599" s="1">
        <v>46326</v>
      </c>
      <c r="B599" s="2">
        <v>46282</v>
      </c>
      <c r="C599" s="1" t="s">
        <v>9</v>
      </c>
      <c r="D599" s="1">
        <f>IFERROR(VLOOKUP(RIT_FUSIONS[[#This Row],[ID]],RIT_ACUM!A:A,1,0),"NOVO")</f>
        <v>46326</v>
      </c>
    </row>
    <row r="600" spans="1:4" hidden="1" x14ac:dyDescent="0.35">
      <c r="A600" s="1">
        <v>46325</v>
      </c>
      <c r="B600" s="2">
        <v>46282</v>
      </c>
      <c r="C600" s="1" t="s">
        <v>9</v>
      </c>
      <c r="D600" s="1">
        <f>IFERROR(VLOOKUP(RIT_FUSIONS[[#This Row],[ID]],RIT_ACUM!A:A,1,0),"NOVO")</f>
        <v>46325</v>
      </c>
    </row>
    <row r="601" spans="1:4" hidden="1" x14ac:dyDescent="0.35">
      <c r="A601" s="1">
        <v>46324</v>
      </c>
      <c r="B601" s="2">
        <v>46282</v>
      </c>
      <c r="C601" s="1" t="s">
        <v>8</v>
      </c>
      <c r="D601" s="1">
        <f>IFERROR(VLOOKUP(RIT_FUSIONS[[#This Row],[ID]],RIT_ACUM!A:A,1,0),"NOVO")</f>
        <v>46324</v>
      </c>
    </row>
    <row r="602" spans="1:4" hidden="1" x14ac:dyDescent="0.35">
      <c r="A602" s="1">
        <v>46323</v>
      </c>
      <c r="B602" s="2">
        <v>46282</v>
      </c>
      <c r="C602" s="1" t="s">
        <v>8</v>
      </c>
      <c r="D602" s="1">
        <f>IFERROR(VLOOKUP(RIT_FUSIONS[[#This Row],[ID]],RIT_ACUM!A:A,1,0),"NOVO")</f>
        <v>46323</v>
      </c>
    </row>
    <row r="603" spans="1:4" hidden="1" x14ac:dyDescent="0.35">
      <c r="A603" s="1">
        <v>46305</v>
      </c>
      <c r="B603" s="2">
        <v>46282</v>
      </c>
      <c r="C603" s="1" t="s">
        <v>17</v>
      </c>
      <c r="D603" s="1">
        <f>IFERROR(VLOOKUP(RIT_FUSIONS[[#This Row],[ID]],RIT_ACUM!A:A,1,0),"NOVO")</f>
        <v>46305</v>
      </c>
    </row>
    <row r="604" spans="1:4" hidden="1" x14ac:dyDescent="0.35">
      <c r="A604" s="1">
        <v>46304</v>
      </c>
      <c r="B604" s="2">
        <v>46282</v>
      </c>
      <c r="C604" s="1" t="s">
        <v>17</v>
      </c>
      <c r="D604" s="1">
        <f>IFERROR(VLOOKUP(RIT_FUSIONS[[#This Row],[ID]],RIT_ACUM!A:A,1,0),"NOVO")</f>
        <v>46304</v>
      </c>
    </row>
    <row r="605" spans="1:4" hidden="1" x14ac:dyDescent="0.35">
      <c r="A605" s="1">
        <v>46303</v>
      </c>
      <c r="B605" s="2">
        <v>46282</v>
      </c>
      <c r="C605" s="1" t="s">
        <v>3</v>
      </c>
      <c r="D605" s="1">
        <f>IFERROR(VLOOKUP(RIT_FUSIONS[[#This Row],[ID]],RIT_ACUM!A:A,1,0),"NOVO")</f>
        <v>46303</v>
      </c>
    </row>
    <row r="606" spans="1:4" hidden="1" x14ac:dyDescent="0.35">
      <c r="A606" s="1">
        <v>46302</v>
      </c>
      <c r="B606" s="2">
        <v>46282</v>
      </c>
      <c r="C606" s="1" t="s">
        <v>3</v>
      </c>
      <c r="D606" s="1">
        <f>IFERROR(VLOOKUP(RIT_FUSIONS[[#This Row],[ID]],RIT_ACUM!A:A,1,0),"NOVO")</f>
        <v>46302</v>
      </c>
    </row>
    <row r="607" spans="1:4" hidden="1" x14ac:dyDescent="0.35">
      <c r="A607" s="1">
        <v>46299</v>
      </c>
      <c r="B607" s="2">
        <v>46282</v>
      </c>
      <c r="C607" s="1" t="s">
        <v>3</v>
      </c>
      <c r="D607" s="1">
        <f>IFERROR(VLOOKUP(RIT_FUSIONS[[#This Row],[ID]],RIT_ACUM!A:A,1,0),"NOVO")</f>
        <v>46299</v>
      </c>
    </row>
    <row r="608" spans="1:4" hidden="1" x14ac:dyDescent="0.35">
      <c r="A608" s="1">
        <v>46298</v>
      </c>
      <c r="B608" s="2">
        <v>46282</v>
      </c>
      <c r="C608" s="1" t="s">
        <v>19</v>
      </c>
      <c r="D608" s="1">
        <f>IFERROR(VLOOKUP(RIT_FUSIONS[[#This Row],[ID]],RIT_ACUM!A:A,1,0),"NOVO")</f>
        <v>46298</v>
      </c>
    </row>
    <row r="609" spans="1:4" hidden="1" x14ac:dyDescent="0.35">
      <c r="A609" s="1">
        <v>46297</v>
      </c>
      <c r="B609" s="2">
        <v>46282</v>
      </c>
      <c r="C609" s="1" t="s">
        <v>19</v>
      </c>
      <c r="D609" s="1">
        <f>IFERROR(VLOOKUP(RIT_FUSIONS[[#This Row],[ID]],RIT_ACUM!A:A,1,0),"NOVO")</f>
        <v>46297</v>
      </c>
    </row>
    <row r="610" spans="1:4" hidden="1" x14ac:dyDescent="0.35">
      <c r="A610" s="1">
        <v>46296</v>
      </c>
      <c r="B610" s="2">
        <v>46282</v>
      </c>
      <c r="C610" s="1" t="s">
        <v>19</v>
      </c>
      <c r="D610" s="1">
        <f>IFERROR(VLOOKUP(RIT_FUSIONS[[#This Row],[ID]],RIT_ACUM!A:A,1,0),"NOVO")</f>
        <v>46296</v>
      </c>
    </row>
    <row r="611" spans="1:4" hidden="1" x14ac:dyDescent="0.35">
      <c r="A611" s="1">
        <v>46295</v>
      </c>
      <c r="B611" s="2">
        <v>46281</v>
      </c>
      <c r="C611" s="1" t="s">
        <v>11</v>
      </c>
      <c r="D611" s="1">
        <f>IFERROR(VLOOKUP(RIT_FUSIONS[[#This Row],[ID]],RIT_ACUM!A:A,1,0),"NOVO")</f>
        <v>46295</v>
      </c>
    </row>
    <row r="612" spans="1:4" hidden="1" x14ac:dyDescent="0.35">
      <c r="A612" s="1">
        <v>46294</v>
      </c>
      <c r="B612" s="2">
        <v>46281</v>
      </c>
      <c r="C612" s="1" t="s">
        <v>10</v>
      </c>
      <c r="D612" s="1">
        <f>IFERROR(VLOOKUP(RIT_FUSIONS[[#This Row],[ID]],RIT_ACUM!A:A,1,0),"NOVO")</f>
        <v>46294</v>
      </c>
    </row>
    <row r="613" spans="1:4" hidden="1" x14ac:dyDescent="0.35">
      <c r="A613" s="1">
        <v>46293</v>
      </c>
      <c r="B613" s="2">
        <v>46281</v>
      </c>
      <c r="C613" s="1" t="s">
        <v>10</v>
      </c>
      <c r="D613" s="1">
        <f>IFERROR(VLOOKUP(RIT_FUSIONS[[#This Row],[ID]],RIT_ACUM!A:A,1,0),"NOVO")</f>
        <v>46293</v>
      </c>
    </row>
    <row r="614" spans="1:4" hidden="1" x14ac:dyDescent="0.35">
      <c r="A614" s="1">
        <v>46292</v>
      </c>
      <c r="B614" s="2">
        <v>46281</v>
      </c>
      <c r="C614" s="1" t="s">
        <v>4</v>
      </c>
      <c r="D614" s="1">
        <f>IFERROR(VLOOKUP(RIT_FUSIONS[[#This Row],[ID]],RIT_ACUM!A:A,1,0),"NOVO")</f>
        <v>46292</v>
      </c>
    </row>
    <row r="615" spans="1:4" hidden="1" x14ac:dyDescent="0.35">
      <c r="A615" s="1">
        <v>46291</v>
      </c>
      <c r="B615" s="2">
        <v>46281</v>
      </c>
      <c r="C615" s="1" t="s">
        <v>4</v>
      </c>
      <c r="D615" s="1">
        <f>IFERROR(VLOOKUP(RIT_FUSIONS[[#This Row],[ID]],RIT_ACUM!A:A,1,0),"NOVO")</f>
        <v>46291</v>
      </c>
    </row>
    <row r="616" spans="1:4" hidden="1" x14ac:dyDescent="0.35">
      <c r="A616" s="1">
        <v>46290</v>
      </c>
      <c r="B616" s="2">
        <v>46281</v>
      </c>
      <c r="C616" s="1" t="s">
        <v>4</v>
      </c>
      <c r="D616" s="1">
        <f>IFERROR(VLOOKUP(RIT_FUSIONS[[#This Row],[ID]],RIT_ACUM!A:A,1,0),"NOVO")</f>
        <v>46290</v>
      </c>
    </row>
    <row r="617" spans="1:4" hidden="1" x14ac:dyDescent="0.35">
      <c r="A617" s="1">
        <v>46289</v>
      </c>
      <c r="B617" s="2">
        <v>46281</v>
      </c>
      <c r="C617" s="1" t="s">
        <v>6</v>
      </c>
      <c r="D617" s="1">
        <f>IFERROR(VLOOKUP(RIT_FUSIONS[[#This Row],[ID]],RIT_ACUM!A:A,1,0),"NOVO")</f>
        <v>46289</v>
      </c>
    </row>
    <row r="618" spans="1:4" hidden="1" x14ac:dyDescent="0.35">
      <c r="A618" s="1">
        <v>46288</v>
      </c>
      <c r="B618" s="2">
        <v>46281</v>
      </c>
      <c r="C618" s="1" t="s">
        <v>6</v>
      </c>
      <c r="D618" s="1">
        <f>IFERROR(VLOOKUP(RIT_FUSIONS[[#This Row],[ID]],RIT_ACUM!A:A,1,0),"NOVO")</f>
        <v>46288</v>
      </c>
    </row>
    <row r="619" spans="1:4" hidden="1" x14ac:dyDescent="0.35">
      <c r="A619" s="1">
        <v>46287</v>
      </c>
      <c r="B619" s="2">
        <v>46281</v>
      </c>
      <c r="C619" s="1" t="s">
        <v>17</v>
      </c>
      <c r="D619" s="1">
        <f>IFERROR(VLOOKUP(RIT_FUSIONS[[#This Row],[ID]],RIT_ACUM!A:A,1,0),"NOVO")</f>
        <v>46287</v>
      </c>
    </row>
    <row r="620" spans="1:4" hidden="1" x14ac:dyDescent="0.35">
      <c r="A620" s="1">
        <v>46286</v>
      </c>
      <c r="B620" s="2">
        <v>46281</v>
      </c>
      <c r="C620" s="1" t="s">
        <v>24</v>
      </c>
      <c r="D620" s="1">
        <f>IFERROR(VLOOKUP(RIT_FUSIONS[[#This Row],[ID]],RIT_ACUM!A:A,1,0),"NOVO")</f>
        <v>46286</v>
      </c>
    </row>
    <row r="621" spans="1:4" hidden="1" x14ac:dyDescent="0.35">
      <c r="A621" s="1">
        <v>46285</v>
      </c>
      <c r="B621" s="2">
        <v>46281</v>
      </c>
      <c r="C621" s="1" t="s">
        <v>24</v>
      </c>
      <c r="D621" s="1">
        <f>IFERROR(VLOOKUP(RIT_FUSIONS[[#This Row],[ID]],RIT_ACUM!A:A,1,0),"NOVO")</f>
        <v>46285</v>
      </c>
    </row>
    <row r="622" spans="1:4" hidden="1" x14ac:dyDescent="0.35">
      <c r="A622" s="1">
        <v>46283</v>
      </c>
      <c r="B622" s="2">
        <v>46281</v>
      </c>
      <c r="C622" s="1" t="s">
        <v>24</v>
      </c>
      <c r="D622" s="1">
        <f>IFERROR(VLOOKUP(RIT_FUSIONS[[#This Row],[ID]],RIT_ACUM!A:A,1,0),"NOVO")</f>
        <v>46283</v>
      </c>
    </row>
    <row r="623" spans="1:4" hidden="1" x14ac:dyDescent="0.35">
      <c r="A623" s="1">
        <v>46282</v>
      </c>
      <c r="B623" s="2">
        <v>46281</v>
      </c>
      <c r="C623" s="1" t="s">
        <v>24</v>
      </c>
      <c r="D623" s="1">
        <f>IFERROR(VLOOKUP(RIT_FUSIONS[[#This Row],[ID]],RIT_ACUM!A:A,1,0),"NOVO")</f>
        <v>46282</v>
      </c>
    </row>
    <row r="624" spans="1:4" hidden="1" x14ac:dyDescent="0.35">
      <c r="A624" s="1">
        <v>46277</v>
      </c>
      <c r="B624" s="2">
        <v>46281</v>
      </c>
      <c r="C624" s="1" t="s">
        <v>7</v>
      </c>
      <c r="D624" s="1">
        <f>IFERROR(VLOOKUP(RIT_FUSIONS[[#This Row],[ID]],RIT_ACUM!A:A,1,0),"NOVO")</f>
        <v>46277</v>
      </c>
    </row>
    <row r="625" spans="1:4" hidden="1" x14ac:dyDescent="0.35">
      <c r="A625" s="1">
        <v>46256</v>
      </c>
      <c r="B625" s="2">
        <v>46281</v>
      </c>
      <c r="C625" s="1" t="s">
        <v>3</v>
      </c>
      <c r="D625" s="1">
        <f>IFERROR(VLOOKUP(RIT_FUSIONS[[#This Row],[ID]],RIT_ACUM!A:A,1,0),"NOVO")</f>
        <v>46256</v>
      </c>
    </row>
    <row r="626" spans="1:4" hidden="1" x14ac:dyDescent="0.35">
      <c r="A626" s="1">
        <v>46255</v>
      </c>
      <c r="B626" s="2">
        <v>46281</v>
      </c>
      <c r="C626" s="1" t="s">
        <v>28</v>
      </c>
      <c r="D626" s="1">
        <f>IFERROR(VLOOKUP(RIT_FUSIONS[[#This Row],[ID]],RIT_ACUM!A:A,1,0),"NOVO")</f>
        <v>46255</v>
      </c>
    </row>
    <row r="627" spans="1:4" hidden="1" x14ac:dyDescent="0.35">
      <c r="A627" s="1">
        <v>46253</v>
      </c>
      <c r="B627" s="2">
        <v>46281</v>
      </c>
      <c r="C627" s="1" t="s">
        <v>3</v>
      </c>
      <c r="D627" s="1">
        <f>IFERROR(VLOOKUP(RIT_FUSIONS[[#This Row],[ID]],RIT_ACUM!A:A,1,0),"NOVO")</f>
        <v>46253</v>
      </c>
    </row>
    <row r="628" spans="1:4" hidden="1" x14ac:dyDescent="0.35">
      <c r="A628" s="1">
        <v>46252</v>
      </c>
      <c r="B628" s="2">
        <v>46281</v>
      </c>
      <c r="C628" s="1" t="s">
        <v>3</v>
      </c>
      <c r="D628" s="1">
        <f>IFERROR(VLOOKUP(RIT_FUSIONS[[#This Row],[ID]],RIT_ACUM!A:A,1,0),"NOVO")</f>
        <v>46252</v>
      </c>
    </row>
    <row r="629" spans="1:4" hidden="1" x14ac:dyDescent="0.35">
      <c r="A629" s="1">
        <v>46249</v>
      </c>
      <c r="B629" s="2">
        <v>46281</v>
      </c>
      <c r="C629" s="1" t="s">
        <v>3</v>
      </c>
      <c r="D629" s="1">
        <f>IFERROR(VLOOKUP(RIT_FUSIONS[[#This Row],[ID]],RIT_ACUM!A:A,1,0),"NOVO")</f>
        <v>46249</v>
      </c>
    </row>
    <row r="630" spans="1:4" hidden="1" x14ac:dyDescent="0.35">
      <c r="A630" s="1">
        <v>46248</v>
      </c>
      <c r="B630" s="2">
        <v>46281</v>
      </c>
      <c r="C630" s="1" t="s">
        <v>9</v>
      </c>
      <c r="D630" s="1">
        <f>IFERROR(VLOOKUP(RIT_FUSIONS[[#This Row],[ID]],RIT_ACUM!A:A,1,0),"NOVO")</f>
        <v>46248</v>
      </c>
    </row>
    <row r="631" spans="1:4" hidden="1" x14ac:dyDescent="0.35">
      <c r="A631" s="1">
        <v>46247</v>
      </c>
      <c r="B631" s="2">
        <v>46281</v>
      </c>
      <c r="C631" s="1" t="s">
        <v>9</v>
      </c>
      <c r="D631" s="1">
        <f>IFERROR(VLOOKUP(RIT_FUSIONS[[#This Row],[ID]],RIT_ACUM!A:A,1,0),"NOVO")</f>
        <v>46247</v>
      </c>
    </row>
    <row r="632" spans="1:4" hidden="1" x14ac:dyDescent="0.35">
      <c r="A632" s="1">
        <v>46246</v>
      </c>
      <c r="B632" s="2">
        <v>46281</v>
      </c>
      <c r="C632" s="1" t="s">
        <v>19</v>
      </c>
      <c r="D632" s="1">
        <f>IFERROR(VLOOKUP(RIT_FUSIONS[[#This Row],[ID]],RIT_ACUM!A:A,1,0),"NOVO")</f>
        <v>46246</v>
      </c>
    </row>
    <row r="633" spans="1:4" hidden="1" x14ac:dyDescent="0.35">
      <c r="A633" s="1">
        <v>46245</v>
      </c>
      <c r="B633" s="2">
        <v>46281</v>
      </c>
      <c r="C633" s="1" t="s">
        <v>19</v>
      </c>
      <c r="D633" s="1">
        <f>IFERROR(VLOOKUP(RIT_FUSIONS[[#This Row],[ID]],RIT_ACUM!A:A,1,0),"NOVO")</f>
        <v>46245</v>
      </c>
    </row>
    <row r="634" spans="1:4" hidden="1" x14ac:dyDescent="0.35">
      <c r="A634" s="1">
        <v>46244</v>
      </c>
      <c r="B634" s="2">
        <v>46281</v>
      </c>
      <c r="C634" s="1" t="s">
        <v>8</v>
      </c>
      <c r="D634" s="1">
        <f>IFERROR(VLOOKUP(RIT_FUSIONS[[#This Row],[ID]],RIT_ACUM!A:A,1,0),"NOVO")</f>
        <v>46244</v>
      </c>
    </row>
    <row r="635" spans="1:4" hidden="1" x14ac:dyDescent="0.35">
      <c r="A635" s="1">
        <v>46243</v>
      </c>
      <c r="B635" s="2">
        <v>46281</v>
      </c>
      <c r="C635" s="1" t="s">
        <v>8</v>
      </c>
      <c r="D635" s="1">
        <f>IFERROR(VLOOKUP(RIT_FUSIONS[[#This Row],[ID]],RIT_ACUM!A:A,1,0),"NOVO")</f>
        <v>46243</v>
      </c>
    </row>
    <row r="636" spans="1:4" hidden="1" x14ac:dyDescent="0.35">
      <c r="A636" s="1">
        <v>46242</v>
      </c>
      <c r="B636" s="2">
        <v>46280</v>
      </c>
      <c r="C636" s="1" t="s">
        <v>4</v>
      </c>
      <c r="D636" s="1">
        <f>IFERROR(VLOOKUP(RIT_FUSIONS[[#This Row],[ID]],RIT_ACUM!A:A,1,0),"NOVO")</f>
        <v>46242</v>
      </c>
    </row>
    <row r="637" spans="1:4" hidden="1" x14ac:dyDescent="0.35">
      <c r="A637" s="1">
        <v>46241</v>
      </c>
      <c r="B637" s="2">
        <v>46280</v>
      </c>
      <c r="C637" s="1" t="s">
        <v>4</v>
      </c>
      <c r="D637" s="1">
        <f>IFERROR(VLOOKUP(RIT_FUSIONS[[#This Row],[ID]],RIT_ACUM!A:A,1,0),"NOVO")</f>
        <v>46241</v>
      </c>
    </row>
    <row r="638" spans="1:4" hidden="1" x14ac:dyDescent="0.35">
      <c r="A638" s="1">
        <v>46240</v>
      </c>
      <c r="B638" s="2">
        <v>46280</v>
      </c>
      <c r="C638" s="1" t="s">
        <v>4</v>
      </c>
      <c r="D638" s="1">
        <f>IFERROR(VLOOKUP(RIT_FUSIONS[[#This Row],[ID]],RIT_ACUM!A:A,1,0),"NOVO")</f>
        <v>46240</v>
      </c>
    </row>
    <row r="639" spans="1:4" hidden="1" x14ac:dyDescent="0.35">
      <c r="A639" s="1">
        <v>46239</v>
      </c>
      <c r="B639" s="2">
        <v>46280</v>
      </c>
      <c r="C639" s="1" t="s">
        <v>6</v>
      </c>
      <c r="D639" s="1">
        <f>IFERROR(VLOOKUP(RIT_FUSIONS[[#This Row],[ID]],RIT_ACUM!A:A,1,0),"NOVO")</f>
        <v>46239</v>
      </c>
    </row>
    <row r="640" spans="1:4" hidden="1" x14ac:dyDescent="0.35">
      <c r="A640" s="1">
        <v>46238</v>
      </c>
      <c r="B640" s="2">
        <v>46280</v>
      </c>
      <c r="C640" s="1" t="s">
        <v>6</v>
      </c>
      <c r="D640" s="1">
        <f>IFERROR(VLOOKUP(RIT_FUSIONS[[#This Row],[ID]],RIT_ACUM!A:A,1,0),"NOVO")</f>
        <v>46238</v>
      </c>
    </row>
    <row r="641" spans="1:4" hidden="1" x14ac:dyDescent="0.35">
      <c r="A641" s="1">
        <v>46234</v>
      </c>
      <c r="B641" s="2">
        <v>46280</v>
      </c>
      <c r="C641" s="1" t="s">
        <v>17</v>
      </c>
      <c r="D641" s="1">
        <f>IFERROR(VLOOKUP(RIT_FUSIONS[[#This Row],[ID]],RIT_ACUM!A:A,1,0),"NOVO")</f>
        <v>46234</v>
      </c>
    </row>
    <row r="642" spans="1:4" hidden="1" x14ac:dyDescent="0.35">
      <c r="A642" s="1">
        <v>46233</v>
      </c>
      <c r="B642" s="2">
        <v>46280</v>
      </c>
      <c r="C642" s="1" t="s">
        <v>17</v>
      </c>
      <c r="D642" s="1">
        <f>IFERROR(VLOOKUP(RIT_FUSIONS[[#This Row],[ID]],RIT_ACUM!A:A,1,0),"NOVO")</f>
        <v>46233</v>
      </c>
    </row>
    <row r="643" spans="1:4" hidden="1" x14ac:dyDescent="0.35">
      <c r="A643" s="1">
        <v>46232</v>
      </c>
      <c r="B643" s="2">
        <v>46280</v>
      </c>
      <c r="C643" s="1" t="s">
        <v>24</v>
      </c>
      <c r="D643" s="1">
        <f>IFERROR(VLOOKUP(RIT_FUSIONS[[#This Row],[ID]],RIT_ACUM!A:A,1,0),"NOVO")</f>
        <v>46232</v>
      </c>
    </row>
    <row r="644" spans="1:4" hidden="1" x14ac:dyDescent="0.35">
      <c r="A644" s="1">
        <v>46231</v>
      </c>
      <c r="B644" s="2">
        <v>46280</v>
      </c>
      <c r="C644" s="1" t="s">
        <v>3</v>
      </c>
      <c r="D644" s="1">
        <f>IFERROR(VLOOKUP(RIT_FUSIONS[[#This Row],[ID]],RIT_ACUM!A:A,1,0),"NOVO")</f>
        <v>46231</v>
      </c>
    </row>
    <row r="645" spans="1:4" hidden="1" x14ac:dyDescent="0.35">
      <c r="A645" s="1">
        <v>46230</v>
      </c>
      <c r="B645" s="2">
        <v>46280</v>
      </c>
      <c r="C645" s="1" t="s">
        <v>23</v>
      </c>
      <c r="D645" s="1">
        <f>IFERROR(VLOOKUP(RIT_FUSIONS[[#This Row],[ID]],RIT_ACUM!A:A,1,0),"NOVO")</f>
        <v>46230</v>
      </c>
    </row>
    <row r="646" spans="1:4" hidden="1" x14ac:dyDescent="0.35">
      <c r="A646" s="1">
        <v>46229</v>
      </c>
      <c r="B646" s="2">
        <v>46280</v>
      </c>
      <c r="C646" s="1" t="s">
        <v>23</v>
      </c>
      <c r="D646" s="1">
        <f>IFERROR(VLOOKUP(RIT_FUSIONS[[#This Row],[ID]],RIT_ACUM!A:A,1,0),"NOVO")</f>
        <v>46229</v>
      </c>
    </row>
    <row r="647" spans="1:4" hidden="1" x14ac:dyDescent="0.35">
      <c r="A647" s="1">
        <v>46228</v>
      </c>
      <c r="B647" s="2">
        <v>46280</v>
      </c>
      <c r="C647" s="1" t="s">
        <v>3</v>
      </c>
      <c r="D647" s="1">
        <f>IFERROR(VLOOKUP(RIT_FUSIONS[[#This Row],[ID]],RIT_ACUM!A:A,1,0),"NOVO")</f>
        <v>46228</v>
      </c>
    </row>
    <row r="648" spans="1:4" hidden="1" x14ac:dyDescent="0.35">
      <c r="A648" s="1">
        <v>46227</v>
      </c>
      <c r="B648" s="2">
        <v>46280</v>
      </c>
      <c r="C648" s="1" t="s">
        <v>28</v>
      </c>
      <c r="D648" s="1">
        <f>IFERROR(VLOOKUP(RIT_FUSIONS[[#This Row],[ID]],RIT_ACUM!A:A,1,0),"NOVO")</f>
        <v>46227</v>
      </c>
    </row>
    <row r="649" spans="1:4" hidden="1" x14ac:dyDescent="0.35">
      <c r="A649" s="1">
        <v>46225</v>
      </c>
      <c r="B649" s="2">
        <v>46280</v>
      </c>
      <c r="C649" s="1" t="s">
        <v>7</v>
      </c>
      <c r="D649" s="1">
        <f>IFERROR(VLOOKUP(RIT_FUSIONS[[#This Row],[ID]],RIT_ACUM!A:A,1,0),"NOVO")</f>
        <v>46225</v>
      </c>
    </row>
    <row r="650" spans="1:4" hidden="1" x14ac:dyDescent="0.35">
      <c r="A650" s="1">
        <v>46221</v>
      </c>
      <c r="B650" s="2">
        <v>46280</v>
      </c>
      <c r="C650" s="1" t="s">
        <v>3</v>
      </c>
      <c r="D650" s="1">
        <f>IFERROR(VLOOKUP(RIT_FUSIONS[[#This Row],[ID]],RIT_ACUM!A:A,1,0),"NOVO")</f>
        <v>46221</v>
      </c>
    </row>
    <row r="651" spans="1:4" hidden="1" x14ac:dyDescent="0.35">
      <c r="A651" s="1">
        <v>46219</v>
      </c>
      <c r="B651" s="2">
        <v>46280</v>
      </c>
      <c r="C651" s="1" t="s">
        <v>3</v>
      </c>
      <c r="D651" s="1">
        <f>IFERROR(VLOOKUP(RIT_FUSIONS[[#This Row],[ID]],RIT_ACUM!A:A,1,0),"NOVO")</f>
        <v>46219</v>
      </c>
    </row>
    <row r="652" spans="1:4" hidden="1" x14ac:dyDescent="0.35">
      <c r="A652" s="1">
        <v>46218</v>
      </c>
      <c r="B652" s="2">
        <v>46280</v>
      </c>
      <c r="C652" s="1" t="s">
        <v>3</v>
      </c>
      <c r="D652" s="1">
        <f>IFERROR(VLOOKUP(RIT_FUSIONS[[#This Row],[ID]],RIT_ACUM!A:A,1,0),"NOVO")</f>
        <v>46218</v>
      </c>
    </row>
    <row r="653" spans="1:4" hidden="1" x14ac:dyDescent="0.35">
      <c r="A653" s="1">
        <v>46215</v>
      </c>
      <c r="B653" s="2">
        <v>46280</v>
      </c>
      <c r="C653" s="1" t="s">
        <v>7</v>
      </c>
      <c r="D653" s="1">
        <f>IFERROR(VLOOKUP(RIT_FUSIONS[[#This Row],[ID]],RIT_ACUM!A:A,1,0),"NOVO")</f>
        <v>46215</v>
      </c>
    </row>
    <row r="654" spans="1:4" hidden="1" x14ac:dyDescent="0.35">
      <c r="A654" s="1">
        <v>46214</v>
      </c>
      <c r="B654" s="2">
        <v>46280</v>
      </c>
      <c r="C654" s="1" t="s">
        <v>9</v>
      </c>
      <c r="D654" s="1">
        <f>IFERROR(VLOOKUP(RIT_FUSIONS[[#This Row],[ID]],RIT_ACUM!A:A,1,0),"NOVO")</f>
        <v>46214</v>
      </c>
    </row>
    <row r="655" spans="1:4" hidden="1" x14ac:dyDescent="0.35">
      <c r="A655" s="1">
        <v>46211</v>
      </c>
      <c r="B655" s="2">
        <v>46280</v>
      </c>
      <c r="C655" s="1" t="s">
        <v>24</v>
      </c>
      <c r="D655" s="1">
        <f>IFERROR(VLOOKUP(RIT_FUSIONS[[#This Row],[ID]],RIT_ACUM!A:A,1,0),"NOVO")</f>
        <v>46211</v>
      </c>
    </row>
    <row r="656" spans="1:4" hidden="1" x14ac:dyDescent="0.35">
      <c r="A656" s="1">
        <v>46210</v>
      </c>
      <c r="B656" s="2">
        <v>46280</v>
      </c>
      <c r="C656" s="1" t="s">
        <v>24</v>
      </c>
      <c r="D656" s="1">
        <f>IFERROR(VLOOKUP(RIT_FUSIONS[[#This Row],[ID]],RIT_ACUM!A:A,1,0),"NOVO")</f>
        <v>46210</v>
      </c>
    </row>
    <row r="657" spans="1:4" hidden="1" x14ac:dyDescent="0.35">
      <c r="A657" s="1">
        <v>46209</v>
      </c>
      <c r="B657" s="2">
        <v>46280</v>
      </c>
      <c r="C657" s="1" t="s">
        <v>24</v>
      </c>
      <c r="D657" s="1">
        <f>IFERROR(VLOOKUP(RIT_FUSIONS[[#This Row],[ID]],RIT_ACUM!A:A,1,0),"NOVO")</f>
        <v>46209</v>
      </c>
    </row>
    <row r="658" spans="1:4" hidden="1" x14ac:dyDescent="0.35">
      <c r="A658" s="1">
        <v>46208</v>
      </c>
      <c r="B658" s="2">
        <v>46280</v>
      </c>
      <c r="C658" s="1" t="s">
        <v>24</v>
      </c>
      <c r="D658" s="1">
        <f>IFERROR(VLOOKUP(RIT_FUSIONS[[#This Row],[ID]],RIT_ACUM!A:A,1,0),"NOVO")</f>
        <v>46208</v>
      </c>
    </row>
    <row r="659" spans="1:4" hidden="1" x14ac:dyDescent="0.35">
      <c r="A659" s="1">
        <v>46207</v>
      </c>
      <c r="B659" s="2">
        <v>46280</v>
      </c>
      <c r="C659" s="1" t="s">
        <v>24</v>
      </c>
      <c r="D659" s="1">
        <f>IFERROR(VLOOKUP(RIT_FUSIONS[[#This Row],[ID]],RIT_ACUM!A:A,1,0),"NOVO")</f>
        <v>46207</v>
      </c>
    </row>
    <row r="660" spans="1:4" hidden="1" x14ac:dyDescent="0.35">
      <c r="A660" s="1">
        <v>46206</v>
      </c>
      <c r="B660" s="2">
        <v>46280</v>
      </c>
      <c r="C660" s="1" t="s">
        <v>9</v>
      </c>
      <c r="D660" s="1">
        <f>IFERROR(VLOOKUP(RIT_FUSIONS[[#This Row],[ID]],RIT_ACUM!A:A,1,0),"NOVO")</f>
        <v>46206</v>
      </c>
    </row>
    <row r="661" spans="1:4" hidden="1" x14ac:dyDescent="0.35">
      <c r="A661" s="1">
        <v>46205</v>
      </c>
      <c r="B661" s="2">
        <v>46280</v>
      </c>
      <c r="C661" s="1" t="s">
        <v>8</v>
      </c>
      <c r="D661" s="1">
        <f>IFERROR(VLOOKUP(RIT_FUSIONS[[#This Row],[ID]],RIT_ACUM!A:A,1,0),"NOVO")</f>
        <v>46205</v>
      </c>
    </row>
    <row r="662" spans="1:4" hidden="1" x14ac:dyDescent="0.35">
      <c r="A662" s="1">
        <v>46204</v>
      </c>
      <c r="B662" s="2">
        <v>46280</v>
      </c>
      <c r="C662" s="1" t="s">
        <v>8</v>
      </c>
      <c r="D662" s="1">
        <f>IFERROR(VLOOKUP(RIT_FUSIONS[[#This Row],[ID]],RIT_ACUM!A:A,1,0),"NOVO")</f>
        <v>46204</v>
      </c>
    </row>
    <row r="663" spans="1:4" hidden="1" x14ac:dyDescent="0.35">
      <c r="A663" s="1">
        <v>46195</v>
      </c>
      <c r="B663" s="2">
        <v>46280</v>
      </c>
      <c r="C663" s="1" t="s">
        <v>19</v>
      </c>
      <c r="D663" s="1">
        <f>IFERROR(VLOOKUP(RIT_FUSIONS[[#This Row],[ID]],RIT_ACUM!A:A,1,0),"NOVO")</f>
        <v>46195</v>
      </c>
    </row>
    <row r="664" spans="1:4" hidden="1" x14ac:dyDescent="0.35">
      <c r="A664" s="1">
        <v>46194</v>
      </c>
      <c r="B664" s="2">
        <v>46280</v>
      </c>
      <c r="C664" s="1" t="s">
        <v>19</v>
      </c>
      <c r="D664" s="1">
        <f>IFERROR(VLOOKUP(RIT_FUSIONS[[#This Row],[ID]],RIT_ACUM!A:A,1,0),"NOVO")</f>
        <v>46194</v>
      </c>
    </row>
    <row r="665" spans="1:4" hidden="1" x14ac:dyDescent="0.35">
      <c r="A665" s="1">
        <v>46193</v>
      </c>
      <c r="B665" s="2">
        <v>46279</v>
      </c>
      <c r="C665" s="1" t="s">
        <v>23</v>
      </c>
      <c r="D665" s="1">
        <f>IFERROR(VLOOKUP(RIT_FUSIONS[[#This Row],[ID]],RIT_ACUM!A:A,1,0),"NOVO")</f>
        <v>46193</v>
      </c>
    </row>
    <row r="666" spans="1:4" hidden="1" x14ac:dyDescent="0.35">
      <c r="A666" s="1">
        <v>46192</v>
      </c>
      <c r="B666" s="2">
        <v>46279</v>
      </c>
      <c r="C666" s="1" t="s">
        <v>17</v>
      </c>
      <c r="D666" s="1">
        <f>IFERROR(VLOOKUP(RIT_FUSIONS[[#This Row],[ID]],RIT_ACUM!A:A,1,0),"NOVO")</f>
        <v>46192</v>
      </c>
    </row>
    <row r="667" spans="1:4" hidden="1" x14ac:dyDescent="0.35">
      <c r="A667" s="1">
        <v>46191</v>
      </c>
      <c r="B667" s="2">
        <v>46279</v>
      </c>
      <c r="C667" s="1" t="s">
        <v>23</v>
      </c>
      <c r="D667" s="1">
        <f>IFERROR(VLOOKUP(RIT_FUSIONS[[#This Row],[ID]],RIT_ACUM!A:A,1,0),"NOVO")</f>
        <v>46191</v>
      </c>
    </row>
    <row r="668" spans="1:4" hidden="1" x14ac:dyDescent="0.35">
      <c r="A668" s="1">
        <v>46187</v>
      </c>
      <c r="B668" s="2">
        <v>46279</v>
      </c>
      <c r="C668" s="1" t="s">
        <v>17</v>
      </c>
      <c r="D668" s="1">
        <f>IFERROR(VLOOKUP(RIT_FUSIONS[[#This Row],[ID]],RIT_ACUM!A:A,1,0),"NOVO")</f>
        <v>46187</v>
      </c>
    </row>
    <row r="669" spans="1:4" hidden="1" x14ac:dyDescent="0.35">
      <c r="A669" s="1">
        <v>46186</v>
      </c>
      <c r="B669" s="2">
        <v>46279</v>
      </c>
      <c r="C669" s="1" t="s">
        <v>24</v>
      </c>
      <c r="D669" s="1">
        <f>IFERROR(VLOOKUP(RIT_FUSIONS[[#This Row],[ID]],RIT_ACUM!A:A,1,0),"NOVO")</f>
        <v>46186</v>
      </c>
    </row>
    <row r="670" spans="1:4" hidden="1" x14ac:dyDescent="0.35">
      <c r="A670" s="1">
        <v>46184</v>
      </c>
      <c r="B670" s="2">
        <v>46279</v>
      </c>
      <c r="C670" s="1" t="s">
        <v>3</v>
      </c>
      <c r="D670" s="1">
        <f>IFERROR(VLOOKUP(RIT_FUSIONS[[#This Row],[ID]],RIT_ACUM!A:A,1,0),"NOVO")</f>
        <v>46184</v>
      </c>
    </row>
    <row r="671" spans="1:4" hidden="1" x14ac:dyDescent="0.35">
      <c r="A671" s="1">
        <v>46183</v>
      </c>
      <c r="B671" s="2">
        <v>46279</v>
      </c>
      <c r="C671" s="1" t="s">
        <v>28</v>
      </c>
      <c r="D671" s="1">
        <f>IFERROR(VLOOKUP(RIT_FUSIONS[[#This Row],[ID]],RIT_ACUM!A:A,1,0),"NOVO")</f>
        <v>46183</v>
      </c>
    </row>
    <row r="672" spans="1:4" hidden="1" x14ac:dyDescent="0.35">
      <c r="A672" s="1">
        <v>46182</v>
      </c>
      <c r="B672" s="2">
        <v>46279</v>
      </c>
      <c r="C672" s="1" t="s">
        <v>10</v>
      </c>
      <c r="D672" s="1">
        <f>IFERROR(VLOOKUP(RIT_FUSIONS[[#This Row],[ID]],RIT_ACUM!A:A,1,0),"NOVO")</f>
        <v>46182</v>
      </c>
    </row>
    <row r="673" spans="1:4" hidden="1" x14ac:dyDescent="0.35">
      <c r="A673" s="1">
        <v>46181</v>
      </c>
      <c r="B673" s="2">
        <v>46279</v>
      </c>
      <c r="C673" s="1" t="s">
        <v>10</v>
      </c>
      <c r="D673" s="1">
        <f>IFERROR(VLOOKUP(RIT_FUSIONS[[#This Row],[ID]],RIT_ACUM!A:A,1,0),"NOVO")</f>
        <v>46181</v>
      </c>
    </row>
    <row r="674" spans="1:4" hidden="1" x14ac:dyDescent="0.35">
      <c r="A674" s="1">
        <v>46180</v>
      </c>
      <c r="B674" s="2">
        <v>46279</v>
      </c>
      <c r="C674" s="1" t="s">
        <v>24</v>
      </c>
      <c r="D674" s="1">
        <f>IFERROR(VLOOKUP(RIT_FUSIONS[[#This Row],[ID]],RIT_ACUM!A:A,1,0),"NOVO")</f>
        <v>46180</v>
      </c>
    </row>
    <row r="675" spans="1:4" hidden="1" x14ac:dyDescent="0.35">
      <c r="A675" s="1">
        <v>46179</v>
      </c>
      <c r="B675" s="2">
        <v>46279</v>
      </c>
      <c r="C675" s="1" t="s">
        <v>24</v>
      </c>
      <c r="D675" s="1">
        <f>IFERROR(VLOOKUP(RIT_FUSIONS[[#This Row],[ID]],RIT_ACUM!A:A,1,0),"NOVO")</f>
        <v>46179</v>
      </c>
    </row>
    <row r="676" spans="1:4" hidden="1" x14ac:dyDescent="0.35">
      <c r="A676" s="1">
        <v>46178</v>
      </c>
      <c r="B676" s="2">
        <v>46279</v>
      </c>
      <c r="C676" s="1" t="s">
        <v>24</v>
      </c>
      <c r="D676" s="1">
        <f>IFERROR(VLOOKUP(RIT_FUSIONS[[#This Row],[ID]],RIT_ACUM!A:A,1,0),"NOVO")</f>
        <v>46178</v>
      </c>
    </row>
    <row r="677" spans="1:4" hidden="1" x14ac:dyDescent="0.35">
      <c r="A677" s="1">
        <v>46177</v>
      </c>
      <c r="B677" s="2">
        <v>46279</v>
      </c>
      <c r="C677" s="1" t="s">
        <v>24</v>
      </c>
      <c r="D677" s="1">
        <f>IFERROR(VLOOKUP(RIT_FUSIONS[[#This Row],[ID]],RIT_ACUM!A:A,1,0),"NOVO")</f>
        <v>46177</v>
      </c>
    </row>
    <row r="678" spans="1:4" hidden="1" x14ac:dyDescent="0.35">
      <c r="A678" s="1">
        <v>46176</v>
      </c>
      <c r="B678" s="2">
        <v>46279</v>
      </c>
      <c r="C678" s="1" t="s">
        <v>24</v>
      </c>
      <c r="D678" s="1">
        <f>IFERROR(VLOOKUP(RIT_FUSIONS[[#This Row],[ID]],RIT_ACUM!A:A,1,0),"NOVO")</f>
        <v>46176</v>
      </c>
    </row>
    <row r="679" spans="1:4" hidden="1" x14ac:dyDescent="0.35">
      <c r="A679" s="1">
        <v>46175</v>
      </c>
      <c r="B679" s="2">
        <v>46279</v>
      </c>
      <c r="C679" s="1" t="s">
        <v>24</v>
      </c>
      <c r="D679" s="1">
        <f>IFERROR(VLOOKUP(RIT_FUSIONS[[#This Row],[ID]],RIT_ACUM!A:A,1,0),"NOVO")</f>
        <v>46175</v>
      </c>
    </row>
    <row r="680" spans="1:4" hidden="1" x14ac:dyDescent="0.35">
      <c r="A680" s="1">
        <v>46174</v>
      </c>
      <c r="B680" s="2">
        <v>46279</v>
      </c>
      <c r="C680" s="1" t="s">
        <v>3</v>
      </c>
      <c r="D680" s="1">
        <f>IFERROR(VLOOKUP(RIT_FUSIONS[[#This Row],[ID]],RIT_ACUM!A:A,1,0),"NOVO")</f>
        <v>46174</v>
      </c>
    </row>
    <row r="681" spans="1:4" hidden="1" x14ac:dyDescent="0.35">
      <c r="A681" s="1">
        <v>46173</v>
      </c>
      <c r="B681" s="2">
        <v>46279</v>
      </c>
      <c r="C681" s="1" t="s">
        <v>28</v>
      </c>
      <c r="D681" s="1">
        <f>IFERROR(VLOOKUP(RIT_FUSIONS[[#This Row],[ID]],RIT_ACUM!A:A,1,0),"NOVO")</f>
        <v>46173</v>
      </c>
    </row>
    <row r="682" spans="1:4" hidden="1" x14ac:dyDescent="0.35">
      <c r="A682" s="1">
        <v>46172</v>
      </c>
      <c r="B682" s="2">
        <v>46279</v>
      </c>
      <c r="C682" s="1" t="s">
        <v>6</v>
      </c>
      <c r="D682" s="1">
        <f>IFERROR(VLOOKUP(RIT_FUSIONS[[#This Row],[ID]],RIT_ACUM!A:A,1,0),"NOVO")</f>
        <v>46172</v>
      </c>
    </row>
    <row r="683" spans="1:4" hidden="1" x14ac:dyDescent="0.35">
      <c r="A683" s="1">
        <v>46171</v>
      </c>
      <c r="B683" s="2">
        <v>46279</v>
      </c>
      <c r="C683" s="1" t="s">
        <v>3</v>
      </c>
      <c r="D683" s="1">
        <f>IFERROR(VLOOKUP(RIT_FUSIONS[[#This Row],[ID]],RIT_ACUM!A:A,1,0),"NOVO")</f>
        <v>46171</v>
      </c>
    </row>
    <row r="684" spans="1:4" hidden="1" x14ac:dyDescent="0.35">
      <c r="A684" s="1">
        <v>46170</v>
      </c>
      <c r="B684" s="2">
        <v>46279</v>
      </c>
      <c r="C684" s="1" t="s">
        <v>3</v>
      </c>
      <c r="D684" s="1">
        <f>IFERROR(VLOOKUP(RIT_FUSIONS[[#This Row],[ID]],RIT_ACUM!A:A,1,0),"NOVO")</f>
        <v>46170</v>
      </c>
    </row>
    <row r="685" spans="1:4" hidden="1" x14ac:dyDescent="0.35">
      <c r="A685" s="1">
        <v>46168</v>
      </c>
      <c r="B685" s="2">
        <v>46279</v>
      </c>
      <c r="C685" s="1" t="s">
        <v>7</v>
      </c>
      <c r="D685" s="1">
        <f>IFERROR(VLOOKUP(RIT_FUSIONS[[#This Row],[ID]],RIT_ACUM!A:A,1,0),"NOVO")</f>
        <v>46168</v>
      </c>
    </row>
    <row r="686" spans="1:4" hidden="1" x14ac:dyDescent="0.35">
      <c r="A686" s="1">
        <v>46167</v>
      </c>
      <c r="B686" s="2">
        <v>46279</v>
      </c>
      <c r="C686" s="1" t="s">
        <v>7</v>
      </c>
      <c r="D686" s="1">
        <f>IFERROR(VLOOKUP(RIT_FUSIONS[[#This Row],[ID]],RIT_ACUM!A:A,1,0),"NOVO")</f>
        <v>46167</v>
      </c>
    </row>
    <row r="687" spans="1:4" hidden="1" x14ac:dyDescent="0.35">
      <c r="A687" s="1">
        <v>46151</v>
      </c>
      <c r="B687" s="2">
        <v>46279</v>
      </c>
      <c r="C687" s="1" t="s">
        <v>19</v>
      </c>
      <c r="D687" s="1">
        <f>IFERROR(VLOOKUP(RIT_FUSIONS[[#This Row],[ID]],RIT_ACUM!A:A,1,0),"NOVO")</f>
        <v>46151</v>
      </c>
    </row>
    <row r="688" spans="1:4" hidden="1" x14ac:dyDescent="0.35">
      <c r="A688" s="1">
        <v>46144</v>
      </c>
      <c r="B688" s="2">
        <v>46279</v>
      </c>
      <c r="C688" s="1" t="s">
        <v>19</v>
      </c>
      <c r="D688" s="1">
        <f>IFERROR(VLOOKUP(RIT_FUSIONS[[#This Row],[ID]],RIT_ACUM!A:A,1,0),"NOVO")</f>
        <v>46144</v>
      </c>
    </row>
    <row r="689" spans="1:4" hidden="1" x14ac:dyDescent="0.35">
      <c r="A689" s="1">
        <v>46143</v>
      </c>
      <c r="B689" s="2">
        <v>46279</v>
      </c>
      <c r="C689" s="1" t="s">
        <v>19</v>
      </c>
      <c r="D689" s="1">
        <f>IFERROR(VLOOKUP(RIT_FUSIONS[[#This Row],[ID]],RIT_ACUM!A:A,1,0),"NOVO")</f>
        <v>46143</v>
      </c>
    </row>
    <row r="690" spans="1:4" hidden="1" x14ac:dyDescent="0.35">
      <c r="A690" s="1">
        <v>46142</v>
      </c>
      <c r="B690" s="2">
        <v>46279</v>
      </c>
      <c r="C690" s="1" t="s">
        <v>19</v>
      </c>
      <c r="D690" s="1">
        <f>IFERROR(VLOOKUP(RIT_FUSIONS[[#This Row],[ID]],RIT_ACUM!A:A,1,0),"NOVO")</f>
        <v>46142</v>
      </c>
    </row>
    <row r="691" spans="1:4" hidden="1" x14ac:dyDescent="0.35">
      <c r="A691" s="1">
        <v>46141</v>
      </c>
      <c r="B691" s="2">
        <v>46279</v>
      </c>
      <c r="C691" s="1" t="s">
        <v>19</v>
      </c>
      <c r="D691" s="1">
        <f>IFERROR(VLOOKUP(RIT_FUSIONS[[#This Row],[ID]],RIT_ACUM!A:A,1,0),"NOVO")</f>
        <v>46141</v>
      </c>
    </row>
    <row r="692" spans="1:4" hidden="1" x14ac:dyDescent="0.35">
      <c r="A692" s="1">
        <v>46140</v>
      </c>
      <c r="B692" s="2">
        <v>46279</v>
      </c>
      <c r="C692" s="1" t="s">
        <v>19</v>
      </c>
      <c r="D692" s="1">
        <f>IFERROR(VLOOKUP(RIT_FUSIONS[[#This Row],[ID]],RIT_ACUM!A:A,1,0),"NOVO")</f>
        <v>46140</v>
      </c>
    </row>
    <row r="693" spans="1:4" hidden="1" x14ac:dyDescent="0.35">
      <c r="A693" s="1">
        <v>46139</v>
      </c>
      <c r="B693" s="2">
        <v>46279</v>
      </c>
      <c r="C693" s="1" t="s">
        <v>19</v>
      </c>
      <c r="D693" s="1">
        <f>IFERROR(VLOOKUP(RIT_FUSIONS[[#This Row],[ID]],RIT_ACUM!A:A,1,0),"NOVO")</f>
        <v>46139</v>
      </c>
    </row>
    <row r="694" spans="1:4" hidden="1" x14ac:dyDescent="0.35">
      <c r="A694" s="1">
        <v>46138</v>
      </c>
      <c r="B694" s="2">
        <v>46279</v>
      </c>
      <c r="C694" s="1" t="s">
        <v>8</v>
      </c>
      <c r="D694" s="1">
        <f>IFERROR(VLOOKUP(RIT_FUSIONS[[#This Row],[ID]],RIT_ACUM!A:A,1,0),"NOVO")</f>
        <v>46138</v>
      </c>
    </row>
    <row r="695" spans="1:4" hidden="1" x14ac:dyDescent="0.35">
      <c r="A695" s="1">
        <v>46137</v>
      </c>
      <c r="B695" s="2">
        <v>46279</v>
      </c>
      <c r="C695" s="1" t="s">
        <v>8</v>
      </c>
      <c r="D695" s="1">
        <f>IFERROR(VLOOKUP(RIT_FUSIONS[[#This Row],[ID]],RIT_ACUM!A:A,1,0),"NOVO")</f>
        <v>46137</v>
      </c>
    </row>
    <row r="696" spans="1:4" hidden="1" x14ac:dyDescent="0.35">
      <c r="A696" s="1">
        <v>46136</v>
      </c>
      <c r="B696" s="2">
        <v>46278</v>
      </c>
      <c r="C696" s="1" t="s">
        <v>17</v>
      </c>
      <c r="D696" s="1">
        <f>IFERROR(VLOOKUP(RIT_FUSIONS[[#This Row],[ID]],RIT_ACUM!A:A,1,0),"NOVO")</f>
        <v>46136</v>
      </c>
    </row>
    <row r="697" spans="1:4" hidden="1" x14ac:dyDescent="0.35">
      <c r="A697" s="1">
        <v>46135</v>
      </c>
      <c r="B697" s="2">
        <v>46278</v>
      </c>
      <c r="C697" s="1" t="s">
        <v>17</v>
      </c>
      <c r="D697" s="1">
        <f>IFERROR(VLOOKUP(RIT_FUSIONS[[#This Row],[ID]],RIT_ACUM!A:A,1,0),"NOVO")</f>
        <v>46135</v>
      </c>
    </row>
    <row r="698" spans="1:4" hidden="1" x14ac:dyDescent="0.35">
      <c r="A698" s="1">
        <v>46134</v>
      </c>
      <c r="B698" s="2">
        <v>46278</v>
      </c>
      <c r="C698" s="1" t="s">
        <v>17</v>
      </c>
      <c r="D698" s="1">
        <f>IFERROR(VLOOKUP(RIT_FUSIONS[[#This Row],[ID]],RIT_ACUM!A:A,1,0),"NOVO")</f>
        <v>46134</v>
      </c>
    </row>
    <row r="699" spans="1:4" hidden="1" x14ac:dyDescent="0.35">
      <c r="A699" s="1">
        <v>46133</v>
      </c>
      <c r="B699" s="2">
        <v>46277</v>
      </c>
      <c r="C699" s="1" t="s">
        <v>23</v>
      </c>
      <c r="D699" s="1">
        <f>IFERROR(VLOOKUP(RIT_FUSIONS[[#This Row],[ID]],RIT_ACUM!A:A,1,0),"NOVO")</f>
        <v>46133</v>
      </c>
    </row>
    <row r="700" spans="1:4" hidden="1" x14ac:dyDescent="0.35">
      <c r="A700" s="1">
        <v>46132</v>
      </c>
      <c r="B700" s="2">
        <v>46277</v>
      </c>
      <c r="C700" s="1" t="s">
        <v>23</v>
      </c>
      <c r="D700" s="1">
        <f>IFERROR(VLOOKUP(RIT_FUSIONS[[#This Row],[ID]],RIT_ACUM!A:A,1,0),"NOVO")</f>
        <v>46132</v>
      </c>
    </row>
    <row r="701" spans="1:4" hidden="1" x14ac:dyDescent="0.35">
      <c r="A701" s="1">
        <v>46131</v>
      </c>
      <c r="B701" s="2">
        <v>46277</v>
      </c>
      <c r="C701" s="1" t="s">
        <v>6</v>
      </c>
      <c r="D701" s="1">
        <f>IFERROR(VLOOKUP(RIT_FUSIONS[[#This Row],[ID]],RIT_ACUM!A:A,1,0),"NOVO")</f>
        <v>46131</v>
      </c>
    </row>
    <row r="702" spans="1:4" hidden="1" x14ac:dyDescent="0.35">
      <c r="A702" s="1">
        <v>46130</v>
      </c>
      <c r="B702" s="2">
        <v>46277</v>
      </c>
      <c r="C702" s="1" t="s">
        <v>6</v>
      </c>
      <c r="D702" s="1">
        <f>IFERROR(VLOOKUP(RIT_FUSIONS[[#This Row],[ID]],RIT_ACUM!A:A,1,0),"NOVO")</f>
        <v>46130</v>
      </c>
    </row>
    <row r="703" spans="1:4" hidden="1" x14ac:dyDescent="0.35">
      <c r="A703" s="1">
        <v>46129</v>
      </c>
      <c r="B703" s="2">
        <v>46276</v>
      </c>
      <c r="C703" s="1" t="s">
        <v>10</v>
      </c>
      <c r="D703" s="1">
        <f>IFERROR(VLOOKUP(RIT_FUSIONS[[#This Row],[ID]],RIT_ACUM!A:A,1,0),"NOVO")</f>
        <v>46129</v>
      </c>
    </row>
    <row r="704" spans="1:4" hidden="1" x14ac:dyDescent="0.35">
      <c r="A704" s="1">
        <v>46128</v>
      </c>
      <c r="B704" s="2">
        <v>46276</v>
      </c>
      <c r="C704" s="1" t="s">
        <v>10</v>
      </c>
      <c r="D704" s="1">
        <f>IFERROR(VLOOKUP(RIT_FUSIONS[[#This Row],[ID]],RIT_ACUM!A:A,1,0),"NOVO")</f>
        <v>46128</v>
      </c>
    </row>
    <row r="705" spans="1:4" hidden="1" x14ac:dyDescent="0.35">
      <c r="A705" s="1">
        <v>46127</v>
      </c>
      <c r="B705" s="2">
        <v>46276</v>
      </c>
      <c r="C705" s="1" t="s">
        <v>15</v>
      </c>
      <c r="D705" s="1">
        <f>IFERROR(VLOOKUP(RIT_FUSIONS[[#This Row],[ID]],RIT_ACUM!A:A,1,0),"NOVO")</f>
        <v>46127</v>
      </c>
    </row>
    <row r="706" spans="1:4" hidden="1" x14ac:dyDescent="0.35">
      <c r="A706" s="1">
        <v>46126</v>
      </c>
      <c r="B706" s="2">
        <v>46276</v>
      </c>
      <c r="C706" s="1" t="s">
        <v>23</v>
      </c>
      <c r="D706" s="1">
        <f>IFERROR(VLOOKUP(RIT_FUSIONS[[#This Row],[ID]],RIT_ACUM!A:A,1,0),"NOVO")</f>
        <v>46126</v>
      </c>
    </row>
    <row r="707" spans="1:4" hidden="1" x14ac:dyDescent="0.35">
      <c r="A707" s="1">
        <v>46125</v>
      </c>
      <c r="B707" s="2">
        <v>46276</v>
      </c>
      <c r="C707" s="1" t="s">
        <v>23</v>
      </c>
      <c r="D707" s="1">
        <f>IFERROR(VLOOKUP(RIT_FUSIONS[[#This Row],[ID]],RIT_ACUM!A:A,1,0),"NOVO")</f>
        <v>46125</v>
      </c>
    </row>
    <row r="708" spans="1:4" hidden="1" x14ac:dyDescent="0.35">
      <c r="A708" s="1">
        <v>46124</v>
      </c>
      <c r="B708" s="2">
        <v>46276</v>
      </c>
      <c r="C708" s="1" t="s">
        <v>24</v>
      </c>
      <c r="D708" s="1">
        <f>IFERROR(VLOOKUP(RIT_FUSIONS[[#This Row],[ID]],RIT_ACUM!A:A,1,0),"NOVO")</f>
        <v>46124</v>
      </c>
    </row>
    <row r="709" spans="1:4" hidden="1" x14ac:dyDescent="0.35">
      <c r="A709" s="1">
        <v>46123</v>
      </c>
      <c r="B709" s="2">
        <v>46276</v>
      </c>
      <c r="C709" s="1" t="s">
        <v>3</v>
      </c>
      <c r="D709" s="1">
        <f>IFERROR(VLOOKUP(RIT_FUSIONS[[#This Row],[ID]],RIT_ACUM!A:A,1,0),"NOVO")</f>
        <v>46123</v>
      </c>
    </row>
    <row r="710" spans="1:4" hidden="1" x14ac:dyDescent="0.35">
      <c r="A710" s="1">
        <v>46122</v>
      </c>
      <c r="B710" s="2">
        <v>46276</v>
      </c>
      <c r="C710" s="1" t="s">
        <v>9</v>
      </c>
      <c r="D710" s="1">
        <f>IFERROR(VLOOKUP(RIT_FUSIONS[[#This Row],[ID]],RIT_ACUM!A:A,1,0),"NOVO")</f>
        <v>46122</v>
      </c>
    </row>
    <row r="711" spans="1:4" hidden="1" x14ac:dyDescent="0.35">
      <c r="A711" s="1">
        <v>46121</v>
      </c>
      <c r="B711" s="2">
        <v>46276</v>
      </c>
      <c r="C711" s="1" t="s">
        <v>9</v>
      </c>
      <c r="D711" s="1">
        <f>IFERROR(VLOOKUP(RIT_FUSIONS[[#This Row],[ID]],RIT_ACUM!A:A,1,0),"NOVO")</f>
        <v>46121</v>
      </c>
    </row>
    <row r="712" spans="1:4" hidden="1" x14ac:dyDescent="0.35">
      <c r="A712" s="1">
        <v>46120</v>
      </c>
      <c r="B712" s="2">
        <v>46276</v>
      </c>
      <c r="C712" s="1" t="s">
        <v>9</v>
      </c>
      <c r="D712" s="1">
        <f>IFERROR(VLOOKUP(RIT_FUSIONS[[#This Row],[ID]],RIT_ACUM!A:A,1,0),"NOVO")</f>
        <v>46120</v>
      </c>
    </row>
    <row r="713" spans="1:4" hidden="1" x14ac:dyDescent="0.35">
      <c r="A713" s="1">
        <v>46118</v>
      </c>
      <c r="B713" s="2">
        <v>46276</v>
      </c>
      <c r="C713" s="1" t="s">
        <v>9</v>
      </c>
      <c r="D713" s="1">
        <f>IFERROR(VLOOKUP(RIT_FUSIONS[[#This Row],[ID]],RIT_ACUM!A:A,1,0),"NOVO")</f>
        <v>46118</v>
      </c>
    </row>
    <row r="714" spans="1:4" hidden="1" x14ac:dyDescent="0.35">
      <c r="A714" s="1">
        <v>46117</v>
      </c>
      <c r="B714" s="2">
        <v>46276</v>
      </c>
      <c r="C714" s="1" t="s">
        <v>9</v>
      </c>
      <c r="D714" s="1">
        <f>IFERROR(VLOOKUP(RIT_FUSIONS[[#This Row],[ID]],RIT_ACUM!A:A,1,0),"NOVO")</f>
        <v>46117</v>
      </c>
    </row>
    <row r="715" spans="1:4" hidden="1" x14ac:dyDescent="0.35">
      <c r="A715" s="1">
        <v>46116</v>
      </c>
      <c r="B715" s="2">
        <v>46276</v>
      </c>
      <c r="C715" s="1" t="s">
        <v>28</v>
      </c>
      <c r="D715" s="1">
        <f>IFERROR(VLOOKUP(RIT_FUSIONS[[#This Row],[ID]],RIT_ACUM!A:A,1,0),"NOVO")</f>
        <v>46116</v>
      </c>
    </row>
    <row r="716" spans="1:4" hidden="1" x14ac:dyDescent="0.35">
      <c r="A716" s="1">
        <v>46115</v>
      </c>
      <c r="B716" s="2">
        <v>46276</v>
      </c>
      <c r="C716" s="1" t="s">
        <v>28</v>
      </c>
      <c r="D716" s="1">
        <f>IFERROR(VLOOKUP(RIT_FUSIONS[[#This Row],[ID]],RIT_ACUM!A:A,1,0),"NOVO")</f>
        <v>46115</v>
      </c>
    </row>
    <row r="717" spans="1:4" hidden="1" x14ac:dyDescent="0.35">
      <c r="A717" s="1">
        <v>46114</v>
      </c>
      <c r="B717" s="2">
        <v>46276</v>
      </c>
      <c r="C717" s="1" t="s">
        <v>28</v>
      </c>
      <c r="D717" s="1">
        <f>IFERROR(VLOOKUP(RIT_FUSIONS[[#This Row],[ID]],RIT_ACUM!A:A,1,0),"NOVO")</f>
        <v>46114</v>
      </c>
    </row>
    <row r="718" spans="1:4" hidden="1" x14ac:dyDescent="0.35">
      <c r="A718" s="1">
        <v>46113</v>
      </c>
      <c r="B718" s="2">
        <v>46276</v>
      </c>
      <c r="C718" s="1" t="s">
        <v>28</v>
      </c>
      <c r="D718" s="1">
        <f>IFERROR(VLOOKUP(RIT_FUSIONS[[#This Row],[ID]],RIT_ACUM!A:A,1,0),"NOVO")</f>
        <v>46113</v>
      </c>
    </row>
    <row r="719" spans="1:4" hidden="1" x14ac:dyDescent="0.35">
      <c r="A719" s="1">
        <v>46112</v>
      </c>
      <c r="B719" s="2">
        <v>46276</v>
      </c>
      <c r="C719" s="1" t="s">
        <v>28</v>
      </c>
      <c r="D719" s="1">
        <f>IFERROR(VLOOKUP(RIT_FUSIONS[[#This Row],[ID]],RIT_ACUM!A:A,1,0),"NOVO")</f>
        <v>46112</v>
      </c>
    </row>
    <row r="720" spans="1:4" hidden="1" x14ac:dyDescent="0.35">
      <c r="A720" s="1">
        <v>46111</v>
      </c>
      <c r="B720" s="2">
        <v>46276</v>
      </c>
      <c r="C720" s="1" t="s">
        <v>24</v>
      </c>
      <c r="D720" s="1">
        <f>IFERROR(VLOOKUP(RIT_FUSIONS[[#This Row],[ID]],RIT_ACUM!A:A,1,0),"NOVO")</f>
        <v>46111</v>
      </c>
    </row>
    <row r="721" spans="1:4" hidden="1" x14ac:dyDescent="0.35">
      <c r="A721" s="1">
        <v>46110</v>
      </c>
      <c r="B721" s="2">
        <v>46276</v>
      </c>
      <c r="C721" s="1" t="s">
        <v>24</v>
      </c>
      <c r="D721" s="1">
        <f>IFERROR(VLOOKUP(RIT_FUSIONS[[#This Row],[ID]],RIT_ACUM!A:A,1,0),"NOVO")</f>
        <v>46110</v>
      </c>
    </row>
    <row r="722" spans="1:4" hidden="1" x14ac:dyDescent="0.35">
      <c r="A722" s="1">
        <v>46109</v>
      </c>
      <c r="B722" s="2">
        <v>46276</v>
      </c>
      <c r="C722" s="1" t="s">
        <v>24</v>
      </c>
      <c r="D722" s="1">
        <f>IFERROR(VLOOKUP(RIT_FUSIONS[[#This Row],[ID]],RIT_ACUM!A:A,1,0),"NOVO")</f>
        <v>46109</v>
      </c>
    </row>
    <row r="723" spans="1:4" hidden="1" x14ac:dyDescent="0.35">
      <c r="A723" s="1">
        <v>46108</v>
      </c>
      <c r="B723" s="2">
        <v>46276</v>
      </c>
      <c r="C723" s="1" t="s">
        <v>24</v>
      </c>
      <c r="D723" s="1">
        <f>IFERROR(VLOOKUP(RIT_FUSIONS[[#This Row],[ID]],RIT_ACUM!A:A,1,0),"NOVO")</f>
        <v>46108</v>
      </c>
    </row>
    <row r="724" spans="1:4" hidden="1" x14ac:dyDescent="0.35">
      <c r="A724" s="1">
        <v>46107</v>
      </c>
      <c r="B724" s="2">
        <v>46276</v>
      </c>
      <c r="C724" s="1" t="s">
        <v>6</v>
      </c>
      <c r="D724" s="1">
        <f>IFERROR(VLOOKUP(RIT_FUSIONS[[#This Row],[ID]],RIT_ACUM!A:A,1,0),"NOVO")</f>
        <v>46107</v>
      </c>
    </row>
    <row r="725" spans="1:4" hidden="1" x14ac:dyDescent="0.35">
      <c r="A725" s="1">
        <v>46106</v>
      </c>
      <c r="B725" s="2">
        <v>46276</v>
      </c>
      <c r="C725" s="1" t="s">
        <v>6</v>
      </c>
      <c r="D725" s="1">
        <f>IFERROR(VLOOKUP(RIT_FUSIONS[[#This Row],[ID]],RIT_ACUM!A:A,1,0),"NOVO")</f>
        <v>46106</v>
      </c>
    </row>
    <row r="726" spans="1:4" hidden="1" x14ac:dyDescent="0.35">
      <c r="A726" s="1">
        <v>46105</v>
      </c>
      <c r="B726" s="2">
        <v>46276</v>
      </c>
      <c r="C726" s="1" t="s">
        <v>6</v>
      </c>
      <c r="D726" s="1">
        <f>IFERROR(VLOOKUP(RIT_FUSIONS[[#This Row],[ID]],RIT_ACUM!A:A,1,0),"NOVO")</f>
        <v>46105</v>
      </c>
    </row>
    <row r="727" spans="1:4" hidden="1" x14ac:dyDescent="0.35">
      <c r="A727" s="1">
        <v>46103</v>
      </c>
      <c r="B727" s="2">
        <v>46276</v>
      </c>
      <c r="C727" s="1" t="s">
        <v>3</v>
      </c>
      <c r="D727" s="1">
        <f>IFERROR(VLOOKUP(RIT_FUSIONS[[#This Row],[ID]],RIT_ACUM!A:A,1,0),"NOVO")</f>
        <v>46103</v>
      </c>
    </row>
    <row r="728" spans="1:4" hidden="1" x14ac:dyDescent="0.35">
      <c r="A728" s="1">
        <v>46102</v>
      </c>
      <c r="B728" s="2">
        <v>46276</v>
      </c>
      <c r="C728" s="1" t="s">
        <v>3</v>
      </c>
      <c r="D728" s="1">
        <f>IFERROR(VLOOKUP(RIT_FUSIONS[[#This Row],[ID]],RIT_ACUM!A:A,1,0),"NOVO")</f>
        <v>46102</v>
      </c>
    </row>
    <row r="729" spans="1:4" hidden="1" x14ac:dyDescent="0.35">
      <c r="A729" s="1">
        <v>46101</v>
      </c>
      <c r="B729" s="2">
        <v>46276</v>
      </c>
      <c r="C729" s="1" t="s">
        <v>3</v>
      </c>
      <c r="D729" s="1">
        <f>IFERROR(VLOOKUP(RIT_FUSIONS[[#This Row],[ID]],RIT_ACUM!A:A,1,0),"NOVO")</f>
        <v>46101</v>
      </c>
    </row>
    <row r="730" spans="1:4" hidden="1" x14ac:dyDescent="0.35">
      <c r="A730" s="1">
        <v>46100</v>
      </c>
      <c r="B730" s="2">
        <v>46276</v>
      </c>
      <c r="C730" s="1" t="s">
        <v>7</v>
      </c>
      <c r="D730" s="1">
        <f>IFERROR(VLOOKUP(RIT_FUSIONS[[#This Row],[ID]],RIT_ACUM!A:A,1,0),"NOVO")</f>
        <v>46100</v>
      </c>
    </row>
    <row r="731" spans="1:4" hidden="1" x14ac:dyDescent="0.35">
      <c r="A731" s="1">
        <v>46098</v>
      </c>
      <c r="B731" s="2">
        <v>46276</v>
      </c>
      <c r="C731" s="1" t="s">
        <v>4</v>
      </c>
      <c r="D731" s="1">
        <f>IFERROR(VLOOKUP(RIT_FUSIONS[[#This Row],[ID]],RIT_ACUM!A:A,1,0),"NOVO")</f>
        <v>46098</v>
      </c>
    </row>
    <row r="732" spans="1:4" hidden="1" x14ac:dyDescent="0.35">
      <c r="A732" s="1">
        <v>46097</v>
      </c>
      <c r="B732" s="2">
        <v>46276</v>
      </c>
      <c r="C732" s="1" t="s">
        <v>17</v>
      </c>
      <c r="D732" s="1">
        <f>IFERROR(VLOOKUP(RIT_FUSIONS[[#This Row],[ID]],RIT_ACUM!A:A,1,0),"NOVO")</f>
        <v>46097</v>
      </c>
    </row>
    <row r="733" spans="1:4" hidden="1" x14ac:dyDescent="0.35">
      <c r="A733" s="1">
        <v>46096</v>
      </c>
      <c r="B733" s="2">
        <v>46276</v>
      </c>
      <c r="C733" s="1" t="s">
        <v>4</v>
      </c>
      <c r="D733" s="1">
        <f>IFERROR(VLOOKUP(RIT_FUSIONS[[#This Row],[ID]],RIT_ACUM!A:A,1,0),"NOVO")</f>
        <v>46096</v>
      </c>
    </row>
    <row r="734" spans="1:4" hidden="1" x14ac:dyDescent="0.35">
      <c r="A734" s="1">
        <v>46095</v>
      </c>
      <c r="B734" s="2">
        <v>46276</v>
      </c>
      <c r="C734" s="1" t="s">
        <v>17</v>
      </c>
      <c r="D734" s="1">
        <f>IFERROR(VLOOKUP(RIT_FUSIONS[[#This Row],[ID]],RIT_ACUM!A:A,1,0),"NOVO")</f>
        <v>46095</v>
      </c>
    </row>
    <row r="735" spans="1:4" hidden="1" x14ac:dyDescent="0.35">
      <c r="A735" s="1">
        <v>46091</v>
      </c>
      <c r="B735" s="2">
        <v>46276</v>
      </c>
      <c r="C735" s="1" t="s">
        <v>15</v>
      </c>
      <c r="D735" s="1">
        <f>IFERROR(VLOOKUP(RIT_FUSIONS[[#This Row],[ID]],RIT_ACUM!A:A,1,0),"NOVO")</f>
        <v>46091</v>
      </c>
    </row>
    <row r="736" spans="1:4" hidden="1" x14ac:dyDescent="0.35">
      <c r="A736" s="1">
        <v>46089</v>
      </c>
      <c r="B736" s="2">
        <v>46276</v>
      </c>
      <c r="C736" s="1" t="s">
        <v>8</v>
      </c>
      <c r="D736" s="1">
        <f>IFERROR(VLOOKUP(RIT_FUSIONS[[#This Row],[ID]],RIT_ACUM!A:A,1,0),"NOVO")</f>
        <v>46089</v>
      </c>
    </row>
    <row r="737" spans="1:4" hidden="1" x14ac:dyDescent="0.35">
      <c r="A737" s="1">
        <v>46088</v>
      </c>
      <c r="B737" s="2">
        <v>46276</v>
      </c>
      <c r="C737" s="1" t="s">
        <v>8</v>
      </c>
      <c r="D737" s="1">
        <f>IFERROR(VLOOKUP(RIT_FUSIONS[[#This Row],[ID]],RIT_ACUM!A:A,1,0),"NOVO")</f>
        <v>46088</v>
      </c>
    </row>
    <row r="738" spans="1:4" hidden="1" x14ac:dyDescent="0.35">
      <c r="A738" s="1">
        <v>46087</v>
      </c>
      <c r="B738" s="2">
        <v>46276</v>
      </c>
      <c r="C738" s="1" t="s">
        <v>4</v>
      </c>
      <c r="D738" s="1">
        <f>IFERROR(VLOOKUP(RIT_FUSIONS[[#This Row],[ID]],RIT_ACUM!A:A,1,0),"NOVO")</f>
        <v>46087</v>
      </c>
    </row>
    <row r="739" spans="1:4" hidden="1" x14ac:dyDescent="0.35">
      <c r="A739" s="1">
        <v>46086</v>
      </c>
      <c r="B739" s="2">
        <v>46275</v>
      </c>
      <c r="C739" s="1" t="s">
        <v>16</v>
      </c>
      <c r="D739" s="1">
        <f>IFERROR(VLOOKUP(RIT_FUSIONS[[#This Row],[ID]],RIT_ACUM!A:A,1,0),"NOVO")</f>
        <v>46086</v>
      </c>
    </row>
    <row r="740" spans="1:4" hidden="1" x14ac:dyDescent="0.35">
      <c r="A740" s="1">
        <v>46085</v>
      </c>
      <c r="B740" s="2">
        <v>46275</v>
      </c>
      <c r="C740" s="1" t="s">
        <v>16</v>
      </c>
      <c r="D740" s="1">
        <f>IFERROR(VLOOKUP(RIT_FUSIONS[[#This Row],[ID]],RIT_ACUM!A:A,1,0),"NOVO")</f>
        <v>46085</v>
      </c>
    </row>
    <row r="741" spans="1:4" hidden="1" x14ac:dyDescent="0.35">
      <c r="A741" s="1">
        <v>46084</v>
      </c>
      <c r="B741" s="2">
        <v>46275</v>
      </c>
      <c r="C741" s="1" t="s">
        <v>9</v>
      </c>
      <c r="D741" s="1">
        <f>IFERROR(VLOOKUP(RIT_FUSIONS[[#This Row],[ID]],RIT_ACUM!A:A,1,0),"NOVO")</f>
        <v>46084</v>
      </c>
    </row>
    <row r="742" spans="1:4" hidden="1" x14ac:dyDescent="0.35">
      <c r="A742" s="1">
        <v>46083</v>
      </c>
      <c r="B742" s="2">
        <v>46275</v>
      </c>
      <c r="C742" s="1" t="s">
        <v>9</v>
      </c>
      <c r="D742" s="1">
        <f>IFERROR(VLOOKUP(RIT_FUSIONS[[#This Row],[ID]],RIT_ACUM!A:A,1,0),"NOVO")</f>
        <v>46083</v>
      </c>
    </row>
    <row r="743" spans="1:4" hidden="1" x14ac:dyDescent="0.35">
      <c r="A743" s="1">
        <v>46082</v>
      </c>
      <c r="B743" s="2">
        <v>46275</v>
      </c>
      <c r="C743" s="1" t="s">
        <v>9</v>
      </c>
      <c r="D743" s="1">
        <f>IFERROR(VLOOKUP(RIT_FUSIONS[[#This Row],[ID]],RIT_ACUM!A:A,1,0),"NOVO")</f>
        <v>46082</v>
      </c>
    </row>
    <row r="744" spans="1:4" hidden="1" x14ac:dyDescent="0.35">
      <c r="A744" s="1">
        <v>46081</v>
      </c>
      <c r="B744" s="2">
        <v>46275</v>
      </c>
      <c r="C744" s="1" t="s">
        <v>9</v>
      </c>
      <c r="D744" s="1">
        <f>IFERROR(VLOOKUP(RIT_FUSIONS[[#This Row],[ID]],RIT_ACUM!A:A,1,0),"NOVO")</f>
        <v>46081</v>
      </c>
    </row>
    <row r="745" spans="1:4" hidden="1" x14ac:dyDescent="0.35">
      <c r="A745" s="1">
        <v>46075</v>
      </c>
      <c r="B745" s="2">
        <v>46275</v>
      </c>
      <c r="C745" s="1" t="s">
        <v>3</v>
      </c>
      <c r="D745" s="1">
        <f>IFERROR(VLOOKUP(RIT_FUSIONS[[#This Row],[ID]],RIT_ACUM!A:A,1,0),"NOVO")</f>
        <v>46075</v>
      </c>
    </row>
    <row r="746" spans="1:4" hidden="1" x14ac:dyDescent="0.35">
      <c r="A746" s="1">
        <v>46074</v>
      </c>
      <c r="B746" s="2">
        <v>46275</v>
      </c>
      <c r="C746" s="1" t="s">
        <v>3</v>
      </c>
      <c r="D746" s="1">
        <f>IFERROR(VLOOKUP(RIT_FUSIONS[[#This Row],[ID]],RIT_ACUM!A:A,1,0),"NOVO")</f>
        <v>46074</v>
      </c>
    </row>
    <row r="747" spans="1:4" hidden="1" x14ac:dyDescent="0.35">
      <c r="A747" s="1">
        <v>46073</v>
      </c>
      <c r="B747" s="2">
        <v>46275</v>
      </c>
      <c r="C747" s="1" t="s">
        <v>24</v>
      </c>
      <c r="D747" s="1">
        <f>IFERROR(VLOOKUP(RIT_FUSIONS[[#This Row],[ID]],RIT_ACUM!A:A,1,0),"NOVO")</f>
        <v>46073</v>
      </c>
    </row>
    <row r="748" spans="1:4" hidden="1" x14ac:dyDescent="0.35">
      <c r="A748" s="1">
        <v>46072</v>
      </c>
      <c r="B748" s="2">
        <v>46275</v>
      </c>
      <c r="C748" s="1" t="s">
        <v>24</v>
      </c>
      <c r="D748" s="1">
        <f>IFERROR(VLOOKUP(RIT_FUSIONS[[#This Row],[ID]],RIT_ACUM!A:A,1,0),"NOVO")</f>
        <v>46072</v>
      </c>
    </row>
    <row r="749" spans="1:4" hidden="1" x14ac:dyDescent="0.35">
      <c r="A749" s="1">
        <v>46071</v>
      </c>
      <c r="B749" s="2">
        <v>46275</v>
      </c>
      <c r="C749" s="1" t="s">
        <v>24</v>
      </c>
      <c r="D749" s="1">
        <f>IFERROR(VLOOKUP(RIT_FUSIONS[[#This Row],[ID]],RIT_ACUM!A:A,1,0),"NOVO")</f>
        <v>46071</v>
      </c>
    </row>
    <row r="750" spans="1:4" hidden="1" x14ac:dyDescent="0.35">
      <c r="A750" s="1">
        <v>46070</v>
      </c>
      <c r="B750" s="2">
        <v>46275</v>
      </c>
      <c r="C750" s="1" t="s">
        <v>24</v>
      </c>
      <c r="D750" s="1">
        <f>IFERROR(VLOOKUP(RIT_FUSIONS[[#This Row],[ID]],RIT_ACUM!A:A,1,0),"NOVO")</f>
        <v>46070</v>
      </c>
    </row>
    <row r="751" spans="1:4" hidden="1" x14ac:dyDescent="0.35">
      <c r="A751" s="1">
        <v>46069</v>
      </c>
      <c r="B751" s="2">
        <v>46275</v>
      </c>
      <c r="C751" s="1" t="s">
        <v>24</v>
      </c>
      <c r="D751" s="1">
        <f>IFERROR(VLOOKUP(RIT_FUSIONS[[#This Row],[ID]],RIT_ACUM!A:A,1,0),"NOVO")</f>
        <v>46069</v>
      </c>
    </row>
    <row r="752" spans="1:4" hidden="1" x14ac:dyDescent="0.35">
      <c r="A752" s="1">
        <v>46068</v>
      </c>
      <c r="B752" s="2">
        <v>46275</v>
      </c>
      <c r="C752" s="1" t="s">
        <v>24</v>
      </c>
      <c r="D752" s="1">
        <f>IFERROR(VLOOKUP(RIT_FUSIONS[[#This Row],[ID]],RIT_ACUM!A:A,1,0),"NOVO")</f>
        <v>46068</v>
      </c>
    </row>
    <row r="753" spans="1:4" hidden="1" x14ac:dyDescent="0.35">
      <c r="A753" s="1">
        <v>46067</v>
      </c>
      <c r="B753" s="2">
        <v>46275</v>
      </c>
      <c r="C753" s="1" t="s">
        <v>24</v>
      </c>
      <c r="D753" s="1">
        <f>IFERROR(VLOOKUP(RIT_FUSIONS[[#This Row],[ID]],RIT_ACUM!A:A,1,0),"NOVO")</f>
        <v>46067</v>
      </c>
    </row>
    <row r="754" spans="1:4" hidden="1" x14ac:dyDescent="0.35">
      <c r="A754" s="1">
        <v>46066</v>
      </c>
      <c r="B754" s="2">
        <v>46275</v>
      </c>
      <c r="C754" s="1" t="s">
        <v>24</v>
      </c>
      <c r="D754" s="1">
        <f>IFERROR(VLOOKUP(RIT_FUSIONS[[#This Row],[ID]],RIT_ACUM!A:A,1,0),"NOVO")</f>
        <v>46066</v>
      </c>
    </row>
    <row r="755" spans="1:4" hidden="1" x14ac:dyDescent="0.35">
      <c r="A755" s="1">
        <v>46065</v>
      </c>
      <c r="B755" s="2">
        <v>46275</v>
      </c>
      <c r="C755" s="1" t="s">
        <v>24</v>
      </c>
      <c r="D755" s="1">
        <f>IFERROR(VLOOKUP(RIT_FUSIONS[[#This Row],[ID]],RIT_ACUM!A:A,1,0),"NOVO")</f>
        <v>46065</v>
      </c>
    </row>
    <row r="756" spans="1:4" hidden="1" x14ac:dyDescent="0.35">
      <c r="A756" s="1">
        <v>46063</v>
      </c>
      <c r="B756" s="2">
        <v>46275</v>
      </c>
      <c r="C756" s="1" t="s">
        <v>10</v>
      </c>
      <c r="D756" s="1">
        <f>IFERROR(VLOOKUP(RIT_FUSIONS[[#This Row],[ID]],RIT_ACUM!A:A,1,0),"NOVO")</f>
        <v>46063</v>
      </c>
    </row>
    <row r="757" spans="1:4" hidden="1" x14ac:dyDescent="0.35">
      <c r="A757" s="1">
        <v>46058</v>
      </c>
      <c r="B757" s="2">
        <v>46275</v>
      </c>
      <c r="C757" s="1" t="s">
        <v>7</v>
      </c>
      <c r="D757" s="1">
        <f>IFERROR(VLOOKUP(RIT_FUSIONS[[#This Row],[ID]],RIT_ACUM!A:A,1,0),"NOVO")</f>
        <v>46058</v>
      </c>
    </row>
    <row r="758" spans="1:4" hidden="1" x14ac:dyDescent="0.35">
      <c r="A758" s="1">
        <v>46057</v>
      </c>
      <c r="B758" s="2">
        <v>46275</v>
      </c>
      <c r="C758" s="1" t="s">
        <v>7</v>
      </c>
      <c r="D758" s="1">
        <f>IFERROR(VLOOKUP(RIT_FUSIONS[[#This Row],[ID]],RIT_ACUM!A:A,1,0),"NOVO")</f>
        <v>46057</v>
      </c>
    </row>
    <row r="759" spans="1:4" hidden="1" x14ac:dyDescent="0.35">
      <c r="A759" s="1">
        <v>46056</v>
      </c>
      <c r="B759" s="2">
        <v>46275</v>
      </c>
      <c r="C759" s="1" t="s">
        <v>8</v>
      </c>
      <c r="D759" s="1">
        <f>IFERROR(VLOOKUP(RIT_FUSIONS[[#This Row],[ID]],RIT_ACUM!A:A,1,0),"NOVO")</f>
        <v>46056</v>
      </c>
    </row>
    <row r="760" spans="1:4" hidden="1" x14ac:dyDescent="0.35">
      <c r="A760" s="1">
        <v>46055</v>
      </c>
      <c r="B760" s="2">
        <v>46275</v>
      </c>
      <c r="C760" s="1" t="s">
        <v>8</v>
      </c>
      <c r="D760" s="1">
        <f>IFERROR(VLOOKUP(RIT_FUSIONS[[#This Row],[ID]],RIT_ACUM!A:A,1,0),"NOVO")</f>
        <v>46055</v>
      </c>
    </row>
    <row r="761" spans="1:4" hidden="1" x14ac:dyDescent="0.35">
      <c r="A761" s="1">
        <v>46054</v>
      </c>
      <c r="B761" s="2">
        <v>46275</v>
      </c>
      <c r="C761" s="1" t="s">
        <v>15</v>
      </c>
      <c r="D761" s="1">
        <f>IFERROR(VLOOKUP(RIT_FUSIONS[[#This Row],[ID]],RIT_ACUM!A:A,1,0),"NOVO")</f>
        <v>46054</v>
      </c>
    </row>
    <row r="762" spans="1:4" hidden="1" x14ac:dyDescent="0.35">
      <c r="A762" s="1">
        <v>46053</v>
      </c>
      <c r="B762" s="2">
        <v>46275</v>
      </c>
      <c r="C762" s="1" t="s">
        <v>15</v>
      </c>
      <c r="D762" s="1">
        <f>IFERROR(VLOOKUP(RIT_FUSIONS[[#This Row],[ID]],RIT_ACUM!A:A,1,0),"NOVO")</f>
        <v>46053</v>
      </c>
    </row>
    <row r="763" spans="1:4" hidden="1" x14ac:dyDescent="0.35">
      <c r="A763" s="1">
        <v>46048</v>
      </c>
      <c r="B763" s="2">
        <v>46274</v>
      </c>
      <c r="C763" s="1" t="s">
        <v>10</v>
      </c>
      <c r="D763" s="1">
        <f>IFERROR(VLOOKUP(RIT_FUSIONS[[#This Row],[ID]],RIT_ACUM!A:A,1,0),"NOVO")</f>
        <v>46048</v>
      </c>
    </row>
    <row r="764" spans="1:4" hidden="1" x14ac:dyDescent="0.35">
      <c r="A764" s="1">
        <v>46047</v>
      </c>
      <c r="B764" s="2">
        <v>46274</v>
      </c>
      <c r="C764" s="1" t="s">
        <v>10</v>
      </c>
      <c r="D764" s="1">
        <f>IFERROR(VLOOKUP(RIT_FUSIONS[[#This Row],[ID]],RIT_ACUM!A:A,1,0),"NOVO")</f>
        <v>46047</v>
      </c>
    </row>
    <row r="765" spans="1:4" hidden="1" x14ac:dyDescent="0.35">
      <c r="A765" s="1">
        <v>46036</v>
      </c>
      <c r="B765" s="2">
        <v>46274</v>
      </c>
      <c r="C765" s="1" t="s">
        <v>3</v>
      </c>
      <c r="D765" s="1">
        <f>IFERROR(VLOOKUP(RIT_FUSIONS[[#This Row],[ID]],RIT_ACUM!A:A,1,0),"NOVO")</f>
        <v>46036</v>
      </c>
    </row>
    <row r="766" spans="1:4" hidden="1" x14ac:dyDescent="0.35">
      <c r="A766" s="1">
        <v>46026</v>
      </c>
      <c r="B766" s="2">
        <v>46274</v>
      </c>
      <c r="C766" s="1" t="s">
        <v>17</v>
      </c>
      <c r="D766" s="1">
        <f>IFERROR(VLOOKUP(RIT_FUSIONS[[#This Row],[ID]],RIT_ACUM!A:A,1,0),"NOVO")</f>
        <v>46026</v>
      </c>
    </row>
    <row r="767" spans="1:4" hidden="1" x14ac:dyDescent="0.35">
      <c r="A767" s="1">
        <v>46025</v>
      </c>
      <c r="B767" s="2">
        <v>46274</v>
      </c>
      <c r="C767" s="1" t="s">
        <v>17</v>
      </c>
      <c r="D767" s="1">
        <f>IFERROR(VLOOKUP(RIT_FUSIONS[[#This Row],[ID]],RIT_ACUM!A:A,1,0),"NOVO")</f>
        <v>46025</v>
      </c>
    </row>
    <row r="768" spans="1:4" hidden="1" x14ac:dyDescent="0.35">
      <c r="A768" s="1">
        <v>46024</v>
      </c>
      <c r="B768" s="2">
        <v>46274</v>
      </c>
      <c r="C768" s="1" t="s">
        <v>17</v>
      </c>
      <c r="D768" s="1">
        <f>IFERROR(VLOOKUP(RIT_FUSIONS[[#This Row],[ID]],RIT_ACUM!A:A,1,0),"NOVO")</f>
        <v>46024</v>
      </c>
    </row>
    <row r="769" spans="1:4" hidden="1" x14ac:dyDescent="0.35">
      <c r="A769" s="1">
        <v>46023</v>
      </c>
      <c r="B769" s="2">
        <v>46274</v>
      </c>
      <c r="C769" s="1" t="s">
        <v>17</v>
      </c>
      <c r="D769" s="1">
        <f>IFERROR(VLOOKUP(RIT_FUSIONS[[#This Row],[ID]],RIT_ACUM!A:A,1,0),"NOVO")</f>
        <v>46023</v>
      </c>
    </row>
    <row r="770" spans="1:4" hidden="1" x14ac:dyDescent="0.35">
      <c r="A770" s="1">
        <v>46020</v>
      </c>
      <c r="B770" s="2">
        <v>46274</v>
      </c>
      <c r="C770" s="1" t="s">
        <v>9</v>
      </c>
      <c r="D770" s="1">
        <f>IFERROR(VLOOKUP(RIT_FUSIONS[[#This Row],[ID]],RIT_ACUM!A:A,1,0),"NOVO")</f>
        <v>46020</v>
      </c>
    </row>
    <row r="771" spans="1:4" hidden="1" x14ac:dyDescent="0.35">
      <c r="A771" s="1">
        <v>46019</v>
      </c>
      <c r="B771" s="2">
        <v>46274</v>
      </c>
      <c r="C771" s="1" t="s">
        <v>9</v>
      </c>
      <c r="D771" s="1">
        <f>IFERROR(VLOOKUP(RIT_FUSIONS[[#This Row],[ID]],RIT_ACUM!A:A,1,0),"NOVO")</f>
        <v>46019</v>
      </c>
    </row>
    <row r="772" spans="1:4" hidden="1" x14ac:dyDescent="0.35">
      <c r="A772" s="1">
        <v>46016</v>
      </c>
      <c r="B772" s="2">
        <v>46274</v>
      </c>
      <c r="C772" s="1" t="s">
        <v>3</v>
      </c>
      <c r="D772" s="1">
        <f>IFERROR(VLOOKUP(RIT_FUSIONS[[#This Row],[ID]],RIT_ACUM!A:A,1,0),"NOVO")</f>
        <v>46016</v>
      </c>
    </row>
    <row r="773" spans="1:4" hidden="1" x14ac:dyDescent="0.35">
      <c r="A773" s="1">
        <v>46014</v>
      </c>
      <c r="B773" s="2">
        <v>46274</v>
      </c>
      <c r="C773" s="1" t="s">
        <v>7</v>
      </c>
      <c r="D773" s="1">
        <f>IFERROR(VLOOKUP(RIT_FUSIONS[[#This Row],[ID]],RIT_ACUM!A:A,1,0),"NOVO")</f>
        <v>46014</v>
      </c>
    </row>
    <row r="774" spans="1:4" hidden="1" x14ac:dyDescent="0.35">
      <c r="A774" s="1">
        <v>46012</v>
      </c>
      <c r="B774" s="2">
        <v>46274</v>
      </c>
      <c r="C774" s="1" t="s">
        <v>3</v>
      </c>
      <c r="D774" s="1">
        <f>IFERROR(VLOOKUP(RIT_FUSIONS[[#This Row],[ID]],RIT_ACUM!A:A,1,0),"NOVO")</f>
        <v>46012</v>
      </c>
    </row>
    <row r="775" spans="1:4" hidden="1" x14ac:dyDescent="0.35">
      <c r="A775" s="1">
        <v>46011</v>
      </c>
      <c r="B775" s="2">
        <v>46274</v>
      </c>
      <c r="C775" s="1" t="s">
        <v>3</v>
      </c>
      <c r="D775" s="1">
        <f>IFERROR(VLOOKUP(RIT_FUSIONS[[#This Row],[ID]],RIT_ACUM!A:A,1,0),"NOVO")</f>
        <v>46011</v>
      </c>
    </row>
    <row r="776" spans="1:4" hidden="1" x14ac:dyDescent="0.35">
      <c r="A776" s="1">
        <v>46010</v>
      </c>
      <c r="B776" s="2">
        <v>46274</v>
      </c>
      <c r="C776" s="1" t="s">
        <v>3</v>
      </c>
      <c r="D776" s="1">
        <f>IFERROR(VLOOKUP(RIT_FUSIONS[[#This Row],[ID]],RIT_ACUM!A:A,1,0),"NOVO")</f>
        <v>46010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042"/>
  <sheetViews>
    <sheetView showGridLines="0" zoomScaleNormal="100" workbookViewId="0">
      <selection activeCell="C8" sqref="C8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26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46974</v>
      </c>
      <c r="B1827" s="2">
        <v>46303</v>
      </c>
      <c r="C1827" s="1" t="s">
        <v>28</v>
      </c>
      <c r="D1827" s="1">
        <f t="shared" ref="D1827:D1853" si="29">MONTH(B1827)</f>
        <v>10</v>
      </c>
    </row>
    <row r="1828" spans="1:4" x14ac:dyDescent="0.35">
      <c r="A1828" s="1">
        <v>46973</v>
      </c>
      <c r="B1828" s="2">
        <v>46303</v>
      </c>
      <c r="C1828" s="1" t="s">
        <v>28</v>
      </c>
      <c r="D1828" s="1">
        <f t="shared" si="29"/>
        <v>10</v>
      </c>
    </row>
    <row r="1829" spans="1:4" x14ac:dyDescent="0.35">
      <c r="A1829" s="1">
        <v>46972</v>
      </c>
      <c r="B1829" s="2">
        <v>46303</v>
      </c>
      <c r="C1829" s="1" t="s">
        <v>21</v>
      </c>
      <c r="D1829" s="1">
        <f t="shared" si="29"/>
        <v>10</v>
      </c>
    </row>
    <row r="1830" spans="1:4" x14ac:dyDescent="0.35">
      <c r="A1830" s="1">
        <v>46971</v>
      </c>
      <c r="B1830" s="2">
        <v>46303</v>
      </c>
      <c r="C1830" s="1" t="s">
        <v>21</v>
      </c>
      <c r="D1830" s="1">
        <f t="shared" si="29"/>
        <v>10</v>
      </c>
    </row>
    <row r="1831" spans="1:4" x14ac:dyDescent="0.35">
      <c r="A1831" s="1">
        <v>46970</v>
      </c>
      <c r="B1831" s="2">
        <v>46303</v>
      </c>
      <c r="C1831" s="1" t="s">
        <v>21</v>
      </c>
      <c r="D1831" s="1">
        <f t="shared" si="29"/>
        <v>10</v>
      </c>
    </row>
    <row r="1832" spans="1:4" x14ac:dyDescent="0.35">
      <c r="A1832" s="1">
        <v>46969</v>
      </c>
      <c r="B1832" s="2">
        <v>46303</v>
      </c>
      <c r="C1832" s="1" t="s">
        <v>21</v>
      </c>
      <c r="D1832" s="1">
        <f t="shared" si="29"/>
        <v>10</v>
      </c>
    </row>
    <row r="1833" spans="1:4" x14ac:dyDescent="0.35">
      <c r="A1833" s="1">
        <v>46968</v>
      </c>
      <c r="B1833" s="2">
        <v>46303</v>
      </c>
      <c r="C1833" s="1" t="s">
        <v>24</v>
      </c>
      <c r="D1833" s="1">
        <f t="shared" si="29"/>
        <v>10</v>
      </c>
    </row>
    <row r="1834" spans="1:4" x14ac:dyDescent="0.35">
      <c r="A1834" s="1">
        <v>46967</v>
      </c>
      <c r="B1834" s="2">
        <v>46303</v>
      </c>
      <c r="C1834" s="1" t="s">
        <v>24</v>
      </c>
      <c r="D1834" s="1">
        <f t="shared" si="29"/>
        <v>10</v>
      </c>
    </row>
    <row r="1835" spans="1:4" x14ac:dyDescent="0.35">
      <c r="A1835" s="1">
        <v>46966</v>
      </c>
      <c r="B1835" s="2">
        <v>46303</v>
      </c>
      <c r="C1835" s="1" t="s">
        <v>24</v>
      </c>
      <c r="D1835" s="1">
        <f t="shared" si="29"/>
        <v>10</v>
      </c>
    </row>
    <row r="1836" spans="1:4" x14ac:dyDescent="0.35">
      <c r="A1836" s="1">
        <v>46965</v>
      </c>
      <c r="B1836" s="2">
        <v>46303</v>
      </c>
      <c r="C1836" s="1" t="s">
        <v>24</v>
      </c>
      <c r="D1836" s="1">
        <f t="shared" si="29"/>
        <v>10</v>
      </c>
    </row>
    <row r="1837" spans="1:4" x14ac:dyDescent="0.35">
      <c r="A1837" s="1">
        <v>46964</v>
      </c>
      <c r="B1837" s="2">
        <v>46303</v>
      </c>
      <c r="C1837" s="1" t="s">
        <v>24</v>
      </c>
      <c r="D1837" s="1">
        <f t="shared" si="29"/>
        <v>10</v>
      </c>
    </row>
    <row r="1838" spans="1:4" x14ac:dyDescent="0.35">
      <c r="A1838" s="1">
        <v>46963</v>
      </c>
      <c r="B1838" s="2">
        <v>46303</v>
      </c>
      <c r="C1838" s="1" t="s">
        <v>4</v>
      </c>
      <c r="D1838" s="1">
        <f t="shared" si="29"/>
        <v>10</v>
      </c>
    </row>
    <row r="1839" spans="1:4" x14ac:dyDescent="0.35">
      <c r="A1839" s="1">
        <v>46962</v>
      </c>
      <c r="B1839" s="2">
        <v>46303</v>
      </c>
      <c r="C1839" s="1" t="s">
        <v>4</v>
      </c>
      <c r="D1839" s="1">
        <f t="shared" si="29"/>
        <v>10</v>
      </c>
    </row>
    <row r="1840" spans="1:4" x14ac:dyDescent="0.35">
      <c r="A1840" s="1">
        <v>46961</v>
      </c>
      <c r="B1840" s="2">
        <v>46302</v>
      </c>
      <c r="C1840" s="1" t="s">
        <v>17</v>
      </c>
      <c r="D1840" s="1">
        <f t="shared" si="29"/>
        <v>10</v>
      </c>
    </row>
    <row r="1841" spans="1:4" x14ac:dyDescent="0.35">
      <c r="A1841" s="1">
        <v>46960</v>
      </c>
      <c r="B1841" s="2">
        <v>46302</v>
      </c>
      <c r="C1841" s="1" t="s">
        <v>17</v>
      </c>
      <c r="D1841" s="1">
        <f t="shared" si="29"/>
        <v>10</v>
      </c>
    </row>
    <row r="1842" spans="1:4" x14ac:dyDescent="0.35">
      <c r="A1842" s="1">
        <v>46956</v>
      </c>
      <c r="B1842" s="2">
        <v>46302</v>
      </c>
      <c r="C1842" s="1" t="s">
        <v>9</v>
      </c>
      <c r="D1842" s="1">
        <f t="shared" si="29"/>
        <v>10</v>
      </c>
    </row>
    <row r="1843" spans="1:4" x14ac:dyDescent="0.35">
      <c r="A1843" s="1">
        <v>46955</v>
      </c>
      <c r="B1843" s="2">
        <v>46302</v>
      </c>
      <c r="C1843" s="1" t="s">
        <v>3</v>
      </c>
      <c r="D1843" s="1">
        <f t="shared" si="29"/>
        <v>10</v>
      </c>
    </row>
    <row r="1844" spans="1:4" x14ac:dyDescent="0.35">
      <c r="A1844" s="1">
        <v>46954</v>
      </c>
      <c r="B1844" s="2">
        <v>46302</v>
      </c>
      <c r="C1844" s="1" t="s">
        <v>9</v>
      </c>
      <c r="D1844" s="1">
        <f t="shared" si="29"/>
        <v>10</v>
      </c>
    </row>
    <row r="1845" spans="1:4" x14ac:dyDescent="0.35">
      <c r="A1845" s="1">
        <v>46953</v>
      </c>
      <c r="B1845" s="2">
        <v>46302</v>
      </c>
      <c r="C1845" s="1" t="s">
        <v>9</v>
      </c>
      <c r="D1845" s="1">
        <f t="shared" si="29"/>
        <v>10</v>
      </c>
    </row>
    <row r="1846" spans="1:4" x14ac:dyDescent="0.35">
      <c r="A1846" s="1">
        <v>46952</v>
      </c>
      <c r="B1846" s="2">
        <v>46302</v>
      </c>
      <c r="C1846" s="1" t="s">
        <v>7</v>
      </c>
      <c r="D1846" s="1">
        <f t="shared" si="29"/>
        <v>10</v>
      </c>
    </row>
    <row r="1847" spans="1:4" x14ac:dyDescent="0.35">
      <c r="A1847" s="1">
        <v>46951</v>
      </c>
      <c r="B1847" s="2">
        <v>46302</v>
      </c>
      <c r="C1847" s="1" t="s">
        <v>7</v>
      </c>
      <c r="D1847" s="1">
        <f t="shared" si="29"/>
        <v>10</v>
      </c>
    </row>
    <row r="1848" spans="1:4" x14ac:dyDescent="0.35">
      <c r="A1848" s="1">
        <v>46950</v>
      </c>
      <c r="B1848" s="2">
        <v>46302</v>
      </c>
      <c r="C1848" s="1" t="s">
        <v>7</v>
      </c>
      <c r="D1848" s="1">
        <f t="shared" si="29"/>
        <v>10</v>
      </c>
    </row>
    <row r="1849" spans="1:4" x14ac:dyDescent="0.35">
      <c r="A1849" s="1">
        <v>46949</v>
      </c>
      <c r="B1849" s="2">
        <v>46302</v>
      </c>
      <c r="C1849" s="1" t="s">
        <v>3</v>
      </c>
      <c r="D1849" s="1">
        <f t="shared" si="29"/>
        <v>10</v>
      </c>
    </row>
    <row r="1850" spans="1:4" x14ac:dyDescent="0.35">
      <c r="A1850" s="1">
        <v>46947</v>
      </c>
      <c r="B1850" s="2">
        <v>46302</v>
      </c>
      <c r="C1850" s="1" t="s">
        <v>19</v>
      </c>
      <c r="D1850" s="1">
        <f t="shared" si="29"/>
        <v>10</v>
      </c>
    </row>
    <row r="1851" spans="1:4" x14ac:dyDescent="0.35">
      <c r="A1851" s="1">
        <v>46945</v>
      </c>
      <c r="B1851" s="2">
        <v>46302</v>
      </c>
      <c r="C1851" s="1" t="s">
        <v>6</v>
      </c>
      <c r="D1851" s="1">
        <f t="shared" si="29"/>
        <v>10</v>
      </c>
    </row>
    <row r="1852" spans="1:4" x14ac:dyDescent="0.35">
      <c r="A1852" s="1">
        <v>46944</v>
      </c>
      <c r="B1852" s="2">
        <v>46302</v>
      </c>
      <c r="C1852" s="1" t="s">
        <v>6</v>
      </c>
      <c r="D1852" s="1">
        <f t="shared" si="29"/>
        <v>10</v>
      </c>
    </row>
    <row r="1853" spans="1:4" x14ac:dyDescent="0.35">
      <c r="A1853" s="1">
        <v>46942</v>
      </c>
      <c r="B1853" s="2">
        <v>46302</v>
      </c>
      <c r="C1853" s="1" t="s">
        <v>3</v>
      </c>
      <c r="D1853" s="1">
        <f t="shared" si="29"/>
        <v>10</v>
      </c>
    </row>
    <row r="1854" spans="1:4" x14ac:dyDescent="0.35">
      <c r="A1854" s="1">
        <v>47188</v>
      </c>
      <c r="B1854" s="2">
        <v>46308</v>
      </c>
      <c r="C1854" s="1" t="s">
        <v>3</v>
      </c>
      <c r="D1854" s="1">
        <f t="shared" ref="D1854:D1885" si="30">MONTH(B1854)</f>
        <v>10</v>
      </c>
    </row>
    <row r="1855" spans="1:4" x14ac:dyDescent="0.35">
      <c r="A1855" s="1">
        <v>47187</v>
      </c>
      <c r="B1855" s="2">
        <v>46308</v>
      </c>
      <c r="C1855" s="1" t="s">
        <v>21</v>
      </c>
      <c r="D1855" s="1">
        <f t="shared" si="30"/>
        <v>10</v>
      </c>
    </row>
    <row r="1856" spans="1:4" x14ac:dyDescent="0.35">
      <c r="A1856" s="1">
        <v>47170</v>
      </c>
      <c r="B1856" s="2">
        <v>46307</v>
      </c>
      <c r="C1856" s="1" t="s">
        <v>10</v>
      </c>
      <c r="D1856" s="1">
        <f t="shared" si="30"/>
        <v>10</v>
      </c>
    </row>
    <row r="1857" spans="1:4" x14ac:dyDescent="0.35">
      <c r="A1857" s="1">
        <v>47169</v>
      </c>
      <c r="B1857" s="2">
        <v>46307</v>
      </c>
      <c r="C1857" s="1" t="s">
        <v>10</v>
      </c>
      <c r="D1857" s="1">
        <f t="shared" si="30"/>
        <v>10</v>
      </c>
    </row>
    <row r="1858" spans="1:4" x14ac:dyDescent="0.35">
      <c r="A1858" s="1">
        <v>47130</v>
      </c>
      <c r="B1858" s="2">
        <v>46306</v>
      </c>
      <c r="C1858" s="1" t="s">
        <v>17</v>
      </c>
      <c r="D1858" s="1">
        <f t="shared" si="30"/>
        <v>10</v>
      </c>
    </row>
    <row r="1859" spans="1:4" x14ac:dyDescent="0.35">
      <c r="A1859" s="1">
        <v>47129</v>
      </c>
      <c r="B1859" s="2">
        <v>46306</v>
      </c>
      <c r="C1859" s="1" t="s">
        <v>17</v>
      </c>
      <c r="D1859" s="1">
        <f t="shared" si="30"/>
        <v>10</v>
      </c>
    </row>
    <row r="1860" spans="1:4" x14ac:dyDescent="0.35">
      <c r="A1860" s="1">
        <v>47128</v>
      </c>
      <c r="B1860" s="2">
        <v>46306</v>
      </c>
      <c r="C1860" s="1" t="s">
        <v>17</v>
      </c>
      <c r="D1860" s="1">
        <f t="shared" si="30"/>
        <v>10</v>
      </c>
    </row>
    <row r="1861" spans="1:4" x14ac:dyDescent="0.35">
      <c r="A1861" s="1">
        <v>47127</v>
      </c>
      <c r="B1861" s="2">
        <v>46306</v>
      </c>
      <c r="C1861" s="1" t="s">
        <v>17</v>
      </c>
      <c r="D1861" s="1">
        <f t="shared" si="30"/>
        <v>10</v>
      </c>
    </row>
    <row r="1862" spans="1:4" x14ac:dyDescent="0.35">
      <c r="A1862" s="1">
        <v>47117</v>
      </c>
      <c r="B1862" s="2">
        <v>46305</v>
      </c>
      <c r="C1862" s="1" t="s">
        <v>10</v>
      </c>
      <c r="D1862" s="1">
        <f t="shared" si="30"/>
        <v>10</v>
      </c>
    </row>
    <row r="1863" spans="1:4" x14ac:dyDescent="0.35">
      <c r="A1863" s="1">
        <v>47107</v>
      </c>
      <c r="B1863" s="2">
        <v>46305</v>
      </c>
      <c r="C1863" s="1" t="s">
        <v>10</v>
      </c>
      <c r="D1863" s="1">
        <f t="shared" si="30"/>
        <v>10</v>
      </c>
    </row>
    <row r="1864" spans="1:4" x14ac:dyDescent="0.35">
      <c r="A1864" s="1">
        <v>47106</v>
      </c>
      <c r="B1864" s="2">
        <v>46304</v>
      </c>
      <c r="C1864" s="1" t="s">
        <v>10</v>
      </c>
      <c r="D1864" s="1">
        <f t="shared" si="30"/>
        <v>10</v>
      </c>
    </row>
    <row r="1865" spans="1:4" x14ac:dyDescent="0.35">
      <c r="A1865" s="1">
        <v>47105</v>
      </c>
      <c r="B1865" s="2">
        <v>46304</v>
      </c>
      <c r="C1865" s="1" t="s">
        <v>10</v>
      </c>
      <c r="D1865" s="1">
        <f t="shared" si="30"/>
        <v>10</v>
      </c>
    </row>
    <row r="1866" spans="1:4" x14ac:dyDescent="0.35">
      <c r="A1866" s="1">
        <v>47100</v>
      </c>
      <c r="B1866" s="2">
        <v>46304</v>
      </c>
      <c r="C1866" s="1" t="s">
        <v>24</v>
      </c>
      <c r="D1866" s="1">
        <f t="shared" si="30"/>
        <v>10</v>
      </c>
    </row>
    <row r="1867" spans="1:4" x14ac:dyDescent="0.35">
      <c r="A1867" s="1">
        <v>47099</v>
      </c>
      <c r="B1867" s="2">
        <v>46304</v>
      </c>
      <c r="C1867" s="1" t="s">
        <v>24</v>
      </c>
      <c r="D1867" s="1">
        <f t="shared" si="30"/>
        <v>10</v>
      </c>
    </row>
    <row r="1868" spans="1:4" x14ac:dyDescent="0.35">
      <c r="A1868" s="1">
        <v>47098</v>
      </c>
      <c r="B1868" s="2">
        <v>46304</v>
      </c>
      <c r="C1868" s="1" t="s">
        <v>24</v>
      </c>
      <c r="D1868" s="1">
        <f t="shared" si="30"/>
        <v>10</v>
      </c>
    </row>
    <row r="1869" spans="1:4" x14ac:dyDescent="0.35">
      <c r="A1869" s="1">
        <v>47097</v>
      </c>
      <c r="B1869" s="2">
        <v>46304</v>
      </c>
      <c r="C1869" s="1" t="s">
        <v>28</v>
      </c>
      <c r="D1869" s="1">
        <f t="shared" si="30"/>
        <v>10</v>
      </c>
    </row>
    <row r="1870" spans="1:4" x14ac:dyDescent="0.35">
      <c r="A1870" s="1">
        <v>47095</v>
      </c>
      <c r="B1870" s="2">
        <v>46304</v>
      </c>
      <c r="C1870" s="1" t="s">
        <v>3</v>
      </c>
      <c r="D1870" s="1">
        <f t="shared" si="30"/>
        <v>10</v>
      </c>
    </row>
    <row r="1871" spans="1:4" x14ac:dyDescent="0.35">
      <c r="A1871" s="1">
        <v>47094</v>
      </c>
      <c r="B1871" s="2">
        <v>46304</v>
      </c>
      <c r="C1871" s="1" t="s">
        <v>21</v>
      </c>
      <c r="D1871" s="1">
        <f t="shared" si="30"/>
        <v>10</v>
      </c>
    </row>
    <row r="1872" spans="1:4" x14ac:dyDescent="0.35">
      <c r="A1872" s="1">
        <v>47092</v>
      </c>
      <c r="B1872" s="2">
        <v>46304</v>
      </c>
      <c r="C1872" s="1" t="s">
        <v>7</v>
      </c>
      <c r="D1872" s="1">
        <f t="shared" si="30"/>
        <v>10</v>
      </c>
    </row>
    <row r="1873" spans="1:4" x14ac:dyDescent="0.35">
      <c r="A1873" s="1">
        <v>47091</v>
      </c>
      <c r="B1873" s="2">
        <v>46304</v>
      </c>
      <c r="C1873" s="1" t="s">
        <v>7</v>
      </c>
      <c r="D1873" s="1">
        <f t="shared" si="30"/>
        <v>10</v>
      </c>
    </row>
    <row r="1874" spans="1:4" x14ac:dyDescent="0.35">
      <c r="A1874" s="1">
        <v>47090</v>
      </c>
      <c r="B1874" s="2">
        <v>46304</v>
      </c>
      <c r="C1874" s="1" t="s">
        <v>28</v>
      </c>
      <c r="D1874" s="1">
        <f t="shared" si="30"/>
        <v>10</v>
      </c>
    </row>
    <row r="1875" spans="1:4" x14ac:dyDescent="0.35">
      <c r="A1875" s="1">
        <v>47089</v>
      </c>
      <c r="B1875" s="2">
        <v>46304</v>
      </c>
      <c r="C1875" s="1" t="s">
        <v>9</v>
      </c>
      <c r="D1875" s="1">
        <f t="shared" si="30"/>
        <v>10</v>
      </c>
    </row>
    <row r="1876" spans="1:4" x14ac:dyDescent="0.35">
      <c r="A1876" s="1">
        <v>47088</v>
      </c>
      <c r="B1876" s="2">
        <v>46304</v>
      </c>
      <c r="C1876" s="1" t="s">
        <v>9</v>
      </c>
      <c r="D1876" s="1">
        <f t="shared" si="30"/>
        <v>10</v>
      </c>
    </row>
    <row r="1877" spans="1:4" x14ac:dyDescent="0.35">
      <c r="A1877" s="1">
        <v>47087</v>
      </c>
      <c r="B1877" s="2">
        <v>46304</v>
      </c>
      <c r="C1877" s="1" t="s">
        <v>19</v>
      </c>
      <c r="D1877" s="1">
        <f t="shared" si="30"/>
        <v>10</v>
      </c>
    </row>
    <row r="1878" spans="1:4" x14ac:dyDescent="0.35">
      <c r="A1878" s="1">
        <v>47082</v>
      </c>
      <c r="B1878" s="2">
        <v>46304</v>
      </c>
      <c r="C1878" s="1" t="s">
        <v>28</v>
      </c>
      <c r="D1878" s="1">
        <f t="shared" si="30"/>
        <v>10</v>
      </c>
    </row>
    <row r="1879" spans="1:4" x14ac:dyDescent="0.35">
      <c r="A1879" s="1">
        <v>47078</v>
      </c>
      <c r="B1879" s="2">
        <v>46304</v>
      </c>
      <c r="C1879" s="1" t="s">
        <v>28</v>
      </c>
      <c r="D1879" s="1">
        <f t="shared" si="30"/>
        <v>10</v>
      </c>
    </row>
    <row r="1880" spans="1:4" x14ac:dyDescent="0.35">
      <c r="A1880" s="1">
        <v>47076</v>
      </c>
      <c r="B1880" s="2">
        <v>46304</v>
      </c>
      <c r="C1880" s="1" t="s">
        <v>24</v>
      </c>
      <c r="D1880" s="1">
        <f t="shared" si="30"/>
        <v>10</v>
      </c>
    </row>
    <row r="1881" spans="1:4" x14ac:dyDescent="0.35">
      <c r="A1881" s="1">
        <v>47075</v>
      </c>
      <c r="B1881" s="2">
        <v>46304</v>
      </c>
      <c r="C1881" s="1" t="s">
        <v>24</v>
      </c>
      <c r="D1881" s="1">
        <f t="shared" si="30"/>
        <v>10</v>
      </c>
    </row>
    <row r="1882" spans="1:4" x14ac:dyDescent="0.35">
      <c r="A1882" s="1">
        <v>47074</v>
      </c>
      <c r="B1882" s="2">
        <v>46304</v>
      </c>
      <c r="C1882" s="1" t="s">
        <v>24</v>
      </c>
      <c r="D1882" s="1">
        <f t="shared" si="30"/>
        <v>10</v>
      </c>
    </row>
    <row r="1883" spans="1:4" x14ac:dyDescent="0.35">
      <c r="A1883" s="1">
        <v>47073</v>
      </c>
      <c r="B1883" s="2">
        <v>46304</v>
      </c>
      <c r="C1883" s="1" t="s">
        <v>24</v>
      </c>
      <c r="D1883" s="1">
        <f t="shared" si="30"/>
        <v>10</v>
      </c>
    </row>
    <row r="1884" spans="1:4" x14ac:dyDescent="0.35">
      <c r="A1884" s="1">
        <v>47071</v>
      </c>
      <c r="B1884" s="2">
        <v>46304</v>
      </c>
      <c r="C1884" s="1" t="s">
        <v>21</v>
      </c>
      <c r="D1884" s="1">
        <f t="shared" si="30"/>
        <v>10</v>
      </c>
    </row>
    <row r="1885" spans="1:4" x14ac:dyDescent="0.35">
      <c r="A1885" s="1">
        <v>47070</v>
      </c>
      <c r="B1885" s="2">
        <v>46304</v>
      </c>
      <c r="C1885" s="1" t="s">
        <v>19</v>
      </c>
      <c r="D1885" s="1">
        <f t="shared" si="30"/>
        <v>10</v>
      </c>
    </row>
    <row r="1886" spans="1:4" x14ac:dyDescent="0.35">
      <c r="A1886" s="1">
        <v>47051</v>
      </c>
      <c r="B1886" s="2">
        <v>46304</v>
      </c>
      <c r="C1886" s="1" t="s">
        <v>19</v>
      </c>
      <c r="D1886" s="1">
        <f t="shared" ref="D1886:D1919" si="31">MONTH(B1886)</f>
        <v>10</v>
      </c>
    </row>
    <row r="1887" spans="1:4" x14ac:dyDescent="0.35">
      <c r="A1887" s="1">
        <v>47049</v>
      </c>
      <c r="B1887" s="2">
        <v>46304</v>
      </c>
      <c r="C1887" s="1" t="s">
        <v>21</v>
      </c>
      <c r="D1887" s="1">
        <f t="shared" si="31"/>
        <v>10</v>
      </c>
    </row>
    <row r="1888" spans="1:4" x14ac:dyDescent="0.35">
      <c r="A1888" s="1">
        <v>47047</v>
      </c>
      <c r="B1888" s="2">
        <v>46304</v>
      </c>
      <c r="C1888" s="1" t="s">
        <v>3</v>
      </c>
      <c r="D1888" s="1">
        <f t="shared" si="31"/>
        <v>10</v>
      </c>
    </row>
    <row r="1889" spans="1:4" x14ac:dyDescent="0.35">
      <c r="A1889" s="1">
        <v>47044</v>
      </c>
      <c r="B1889" s="2">
        <v>46304</v>
      </c>
      <c r="C1889" s="1" t="s">
        <v>19</v>
      </c>
      <c r="D1889" s="1">
        <f t="shared" si="31"/>
        <v>10</v>
      </c>
    </row>
    <row r="1890" spans="1:4" x14ac:dyDescent="0.35">
      <c r="A1890" s="1">
        <v>47039</v>
      </c>
      <c r="B1890" s="2">
        <v>46304</v>
      </c>
      <c r="C1890" s="1" t="s">
        <v>21</v>
      </c>
      <c r="D1890" s="1">
        <f t="shared" si="31"/>
        <v>10</v>
      </c>
    </row>
    <row r="1891" spans="1:4" x14ac:dyDescent="0.35">
      <c r="A1891" s="1">
        <v>47038</v>
      </c>
      <c r="B1891" s="2">
        <v>46304</v>
      </c>
      <c r="C1891" s="1" t="s">
        <v>19</v>
      </c>
      <c r="D1891" s="1">
        <f t="shared" si="31"/>
        <v>10</v>
      </c>
    </row>
    <row r="1892" spans="1:4" x14ac:dyDescent="0.35">
      <c r="A1892" s="1">
        <v>47036</v>
      </c>
      <c r="B1892" s="2">
        <v>46304</v>
      </c>
      <c r="C1892" s="1" t="s">
        <v>9</v>
      </c>
      <c r="D1892" s="1">
        <f t="shared" si="31"/>
        <v>10</v>
      </c>
    </row>
    <row r="1893" spans="1:4" x14ac:dyDescent="0.35">
      <c r="A1893" s="1">
        <v>47033</v>
      </c>
      <c r="B1893" s="2">
        <v>46303</v>
      </c>
      <c r="C1893" s="1" t="s">
        <v>10</v>
      </c>
      <c r="D1893" s="1">
        <f t="shared" si="31"/>
        <v>10</v>
      </c>
    </row>
    <row r="1894" spans="1:4" x14ac:dyDescent="0.35">
      <c r="A1894" s="1">
        <v>47032</v>
      </c>
      <c r="B1894" s="2">
        <v>46303</v>
      </c>
      <c r="C1894" s="1" t="s">
        <v>10</v>
      </c>
      <c r="D1894" s="1">
        <f t="shared" si="31"/>
        <v>10</v>
      </c>
    </row>
    <row r="1895" spans="1:4" x14ac:dyDescent="0.35">
      <c r="A1895" s="1">
        <v>47018</v>
      </c>
      <c r="B1895" s="2">
        <v>46303</v>
      </c>
      <c r="C1895" s="1" t="s">
        <v>21</v>
      </c>
      <c r="D1895" s="1">
        <f t="shared" si="31"/>
        <v>10</v>
      </c>
    </row>
    <row r="1896" spans="1:4" x14ac:dyDescent="0.35">
      <c r="A1896" s="1">
        <v>47017</v>
      </c>
      <c r="B1896" s="2">
        <v>46303</v>
      </c>
      <c r="C1896" s="1" t="s">
        <v>21</v>
      </c>
      <c r="D1896" s="1">
        <f t="shared" si="31"/>
        <v>10</v>
      </c>
    </row>
    <row r="1897" spans="1:4" x14ac:dyDescent="0.35">
      <c r="A1897" s="1">
        <v>47016</v>
      </c>
      <c r="B1897" s="2">
        <v>46303</v>
      </c>
      <c r="C1897" s="1" t="s">
        <v>3</v>
      </c>
      <c r="D1897" s="1">
        <f t="shared" si="31"/>
        <v>10</v>
      </c>
    </row>
    <row r="1898" spans="1:4" x14ac:dyDescent="0.35">
      <c r="A1898" s="1">
        <v>47015</v>
      </c>
      <c r="B1898" s="2">
        <v>46303</v>
      </c>
      <c r="C1898" s="1" t="s">
        <v>3</v>
      </c>
      <c r="D1898" s="1">
        <f t="shared" si="31"/>
        <v>10</v>
      </c>
    </row>
    <row r="1899" spans="1:4" x14ac:dyDescent="0.35">
      <c r="A1899" s="1">
        <v>47009</v>
      </c>
      <c r="B1899" s="2">
        <v>46303</v>
      </c>
      <c r="C1899" s="1" t="s">
        <v>22</v>
      </c>
      <c r="D1899" s="1">
        <f t="shared" si="31"/>
        <v>10</v>
      </c>
    </row>
    <row r="1900" spans="1:4" x14ac:dyDescent="0.35">
      <c r="A1900" s="1">
        <v>47008</v>
      </c>
      <c r="B1900" s="2">
        <v>46303</v>
      </c>
      <c r="C1900" s="1" t="s">
        <v>22</v>
      </c>
      <c r="D1900" s="1">
        <f t="shared" si="31"/>
        <v>10</v>
      </c>
    </row>
    <row r="1901" spans="1:4" x14ac:dyDescent="0.35">
      <c r="A1901" s="1">
        <v>47007</v>
      </c>
      <c r="B1901" s="2">
        <v>46303</v>
      </c>
      <c r="C1901" s="1" t="s">
        <v>22</v>
      </c>
      <c r="D1901" s="1">
        <f t="shared" si="31"/>
        <v>10</v>
      </c>
    </row>
    <row r="1902" spans="1:4" x14ac:dyDescent="0.35">
      <c r="A1902" s="1">
        <v>47006</v>
      </c>
      <c r="B1902" s="2">
        <v>46303</v>
      </c>
      <c r="C1902" s="1" t="s">
        <v>22</v>
      </c>
      <c r="D1902" s="1">
        <f t="shared" si="31"/>
        <v>10</v>
      </c>
    </row>
    <row r="1903" spans="1:4" x14ac:dyDescent="0.35">
      <c r="A1903" s="1">
        <v>47005</v>
      </c>
      <c r="B1903" s="2">
        <v>46303</v>
      </c>
      <c r="C1903" s="1" t="s">
        <v>22</v>
      </c>
      <c r="D1903" s="1">
        <f t="shared" si="31"/>
        <v>10</v>
      </c>
    </row>
    <row r="1904" spans="1:4" x14ac:dyDescent="0.35">
      <c r="A1904" s="1">
        <v>47004</v>
      </c>
      <c r="B1904" s="2">
        <v>46303</v>
      </c>
      <c r="C1904" s="1" t="s">
        <v>22</v>
      </c>
      <c r="D1904" s="1">
        <f t="shared" si="31"/>
        <v>10</v>
      </c>
    </row>
    <row r="1905" spans="1:4" x14ac:dyDescent="0.35">
      <c r="A1905" s="1">
        <v>47003</v>
      </c>
      <c r="B1905" s="2">
        <v>46303</v>
      </c>
      <c r="C1905" s="1" t="s">
        <v>22</v>
      </c>
      <c r="D1905" s="1">
        <f t="shared" si="31"/>
        <v>10</v>
      </c>
    </row>
    <row r="1906" spans="1:4" x14ac:dyDescent="0.35">
      <c r="A1906" s="1">
        <v>47002</v>
      </c>
      <c r="B1906" s="2">
        <v>46303</v>
      </c>
      <c r="C1906" s="1" t="s">
        <v>22</v>
      </c>
      <c r="D1906" s="1">
        <f t="shared" si="31"/>
        <v>10</v>
      </c>
    </row>
    <row r="1907" spans="1:4" x14ac:dyDescent="0.35">
      <c r="A1907" s="1">
        <v>47001</v>
      </c>
      <c r="B1907" s="2">
        <v>46303</v>
      </c>
      <c r="C1907" s="1" t="s">
        <v>22</v>
      </c>
      <c r="D1907" s="1">
        <f t="shared" si="31"/>
        <v>10</v>
      </c>
    </row>
    <row r="1908" spans="1:4" x14ac:dyDescent="0.35">
      <c r="A1908" s="1">
        <v>47000</v>
      </c>
      <c r="B1908" s="2">
        <v>46303</v>
      </c>
      <c r="C1908" s="1" t="s">
        <v>22</v>
      </c>
      <c r="D1908" s="1">
        <f t="shared" si="31"/>
        <v>10</v>
      </c>
    </row>
    <row r="1909" spans="1:4" x14ac:dyDescent="0.35">
      <c r="A1909" s="1">
        <v>46992</v>
      </c>
      <c r="B1909" s="2">
        <v>46303</v>
      </c>
      <c r="C1909" s="1" t="s">
        <v>19</v>
      </c>
      <c r="D1909" s="1">
        <f t="shared" si="31"/>
        <v>10</v>
      </c>
    </row>
    <row r="1910" spans="1:4" x14ac:dyDescent="0.35">
      <c r="A1910" s="1">
        <v>46991</v>
      </c>
      <c r="B1910" s="2">
        <v>46303</v>
      </c>
      <c r="C1910" s="1" t="s">
        <v>9</v>
      </c>
      <c r="D1910" s="1">
        <f t="shared" si="31"/>
        <v>10</v>
      </c>
    </row>
    <row r="1911" spans="1:4" x14ac:dyDescent="0.35">
      <c r="A1911" s="1">
        <v>46989</v>
      </c>
      <c r="B1911" s="2">
        <v>46303</v>
      </c>
      <c r="C1911" s="1" t="s">
        <v>7</v>
      </c>
      <c r="D1911" s="1">
        <f t="shared" si="31"/>
        <v>10</v>
      </c>
    </row>
    <row r="1912" spans="1:4" x14ac:dyDescent="0.35">
      <c r="A1912" s="1">
        <v>46987</v>
      </c>
      <c r="B1912" s="2">
        <v>46303</v>
      </c>
      <c r="C1912" s="1" t="s">
        <v>21</v>
      </c>
      <c r="D1912" s="1">
        <f t="shared" si="31"/>
        <v>10</v>
      </c>
    </row>
    <row r="1913" spans="1:4" x14ac:dyDescent="0.35">
      <c r="A1913" s="1">
        <v>46985</v>
      </c>
      <c r="B1913" s="2">
        <v>46303</v>
      </c>
      <c r="C1913" s="1" t="s">
        <v>19</v>
      </c>
      <c r="D1913" s="1">
        <f t="shared" si="31"/>
        <v>10</v>
      </c>
    </row>
    <row r="1914" spans="1:4" x14ac:dyDescent="0.35">
      <c r="A1914" s="1">
        <v>46980</v>
      </c>
      <c r="B1914" s="2">
        <v>46303</v>
      </c>
      <c r="C1914" s="1" t="s">
        <v>9</v>
      </c>
      <c r="D1914" s="1">
        <f t="shared" si="31"/>
        <v>10</v>
      </c>
    </row>
    <row r="1915" spans="1:4" x14ac:dyDescent="0.35">
      <c r="A1915" s="1">
        <v>46979</v>
      </c>
      <c r="B1915" s="2">
        <v>46303</v>
      </c>
      <c r="C1915" s="1" t="s">
        <v>21</v>
      </c>
      <c r="D1915" s="1">
        <f t="shared" si="31"/>
        <v>10</v>
      </c>
    </row>
    <row r="1916" spans="1:4" x14ac:dyDescent="0.35">
      <c r="A1916" s="1">
        <v>46978</v>
      </c>
      <c r="B1916" s="2">
        <v>46303</v>
      </c>
      <c r="C1916" s="1" t="s">
        <v>28</v>
      </c>
      <c r="D1916" s="1">
        <f t="shared" si="31"/>
        <v>10</v>
      </c>
    </row>
    <row r="1917" spans="1:4" x14ac:dyDescent="0.35">
      <c r="A1917" s="1">
        <v>46977</v>
      </c>
      <c r="B1917" s="2">
        <v>46303</v>
      </c>
      <c r="C1917" s="1" t="s">
        <v>28</v>
      </c>
      <c r="D1917" s="1">
        <f t="shared" si="31"/>
        <v>10</v>
      </c>
    </row>
    <row r="1918" spans="1:4" x14ac:dyDescent="0.35">
      <c r="A1918" s="1">
        <v>46976</v>
      </c>
      <c r="B1918" s="2">
        <v>46303</v>
      </c>
      <c r="C1918" s="1" t="s">
        <v>28</v>
      </c>
      <c r="D1918" s="1">
        <f t="shared" si="31"/>
        <v>10</v>
      </c>
    </row>
    <row r="1919" spans="1:4" x14ac:dyDescent="0.35">
      <c r="A1919" s="1">
        <v>46975</v>
      </c>
      <c r="B1919" s="2">
        <v>46303</v>
      </c>
      <c r="C1919" s="1" t="s">
        <v>28</v>
      </c>
      <c r="D1919" s="1">
        <f t="shared" si="31"/>
        <v>10</v>
      </c>
    </row>
    <row r="1920" spans="1:4" x14ac:dyDescent="0.35">
      <c r="A1920" s="1">
        <v>47354</v>
      </c>
      <c r="B1920" s="2">
        <v>46311</v>
      </c>
      <c r="C1920" s="1" t="s">
        <v>3</v>
      </c>
      <c r="D1920" s="1">
        <f t="shared" ref="D1920:D1951" si="32">MONTH(B1920)</f>
        <v>10</v>
      </c>
    </row>
    <row r="1921" spans="1:4" x14ac:dyDescent="0.35">
      <c r="A1921" s="1">
        <v>47352</v>
      </c>
      <c r="B1921" s="2">
        <v>46311</v>
      </c>
      <c r="C1921" s="1" t="s">
        <v>3</v>
      </c>
      <c r="D1921" s="1">
        <f t="shared" si="32"/>
        <v>10</v>
      </c>
    </row>
    <row r="1922" spans="1:4" x14ac:dyDescent="0.35">
      <c r="A1922" s="1">
        <v>47350</v>
      </c>
      <c r="B1922" s="2">
        <v>46311</v>
      </c>
      <c r="C1922" s="1" t="s">
        <v>21</v>
      </c>
      <c r="D1922" s="1">
        <f t="shared" si="32"/>
        <v>10</v>
      </c>
    </row>
    <row r="1923" spans="1:4" x14ac:dyDescent="0.35">
      <c r="A1923" s="1">
        <v>47349</v>
      </c>
      <c r="B1923" s="2">
        <v>46310</v>
      </c>
      <c r="C1923" s="1" t="s">
        <v>11</v>
      </c>
      <c r="D1923" s="1">
        <f t="shared" si="32"/>
        <v>10</v>
      </c>
    </row>
    <row r="1924" spans="1:4" x14ac:dyDescent="0.35">
      <c r="A1924" s="1">
        <v>47348</v>
      </c>
      <c r="B1924" s="2">
        <v>46311</v>
      </c>
      <c r="C1924" s="1" t="s">
        <v>21</v>
      </c>
      <c r="D1924" s="1">
        <f t="shared" si="32"/>
        <v>10</v>
      </c>
    </row>
    <row r="1925" spans="1:4" x14ac:dyDescent="0.35">
      <c r="A1925" s="1">
        <v>47346</v>
      </c>
      <c r="B1925" s="2">
        <v>46311</v>
      </c>
      <c r="C1925" s="1" t="s">
        <v>9</v>
      </c>
      <c r="D1925" s="1">
        <f t="shared" si="32"/>
        <v>10</v>
      </c>
    </row>
    <row r="1926" spans="1:4" x14ac:dyDescent="0.35">
      <c r="A1926" s="1">
        <v>47345</v>
      </c>
      <c r="B1926" s="2">
        <v>46311</v>
      </c>
      <c r="C1926" s="1" t="s">
        <v>9</v>
      </c>
      <c r="D1926" s="1">
        <f t="shared" si="32"/>
        <v>10</v>
      </c>
    </row>
    <row r="1927" spans="1:4" x14ac:dyDescent="0.35">
      <c r="A1927" s="1">
        <v>47343</v>
      </c>
      <c r="B1927" s="2">
        <v>46311</v>
      </c>
      <c r="C1927" s="1" t="s">
        <v>9</v>
      </c>
      <c r="D1927" s="1">
        <f t="shared" si="32"/>
        <v>10</v>
      </c>
    </row>
    <row r="1928" spans="1:4" x14ac:dyDescent="0.35">
      <c r="A1928" s="1">
        <v>47340</v>
      </c>
      <c r="B1928" s="2">
        <v>46311</v>
      </c>
      <c r="C1928" s="1" t="s">
        <v>19</v>
      </c>
      <c r="D1928" s="1">
        <f t="shared" si="32"/>
        <v>10</v>
      </c>
    </row>
    <row r="1929" spans="1:4" x14ac:dyDescent="0.35">
      <c r="A1929" s="1">
        <v>47339</v>
      </c>
      <c r="B1929" s="2">
        <v>46310</v>
      </c>
      <c r="C1929" s="1" t="s">
        <v>21</v>
      </c>
      <c r="D1929" s="1">
        <f t="shared" si="32"/>
        <v>10</v>
      </c>
    </row>
    <row r="1930" spans="1:4" x14ac:dyDescent="0.35">
      <c r="A1930" s="1">
        <v>47338</v>
      </c>
      <c r="B1930" s="2">
        <v>46310</v>
      </c>
      <c r="C1930" s="1" t="s">
        <v>21</v>
      </c>
      <c r="D1930" s="1">
        <f t="shared" si="32"/>
        <v>10</v>
      </c>
    </row>
    <row r="1931" spans="1:4" x14ac:dyDescent="0.35">
      <c r="A1931" s="1">
        <v>47337</v>
      </c>
      <c r="B1931" s="2">
        <v>46310</v>
      </c>
      <c r="C1931" s="1" t="s">
        <v>21</v>
      </c>
      <c r="D1931" s="1">
        <f t="shared" si="32"/>
        <v>10</v>
      </c>
    </row>
    <row r="1932" spans="1:4" x14ac:dyDescent="0.35">
      <c r="A1932" s="1">
        <v>47336</v>
      </c>
      <c r="B1932" s="2">
        <v>46310</v>
      </c>
      <c r="C1932" s="1" t="s">
        <v>10</v>
      </c>
      <c r="D1932" s="1">
        <f t="shared" si="32"/>
        <v>10</v>
      </c>
    </row>
    <row r="1933" spans="1:4" x14ac:dyDescent="0.35">
      <c r="A1933" s="1">
        <v>47335</v>
      </c>
      <c r="B1933" s="2">
        <v>46310</v>
      </c>
      <c r="C1933" s="1" t="s">
        <v>10</v>
      </c>
      <c r="D1933" s="1">
        <f t="shared" si="32"/>
        <v>10</v>
      </c>
    </row>
    <row r="1934" spans="1:4" x14ac:dyDescent="0.35">
      <c r="A1934" s="1">
        <v>47332</v>
      </c>
      <c r="B1934" s="2">
        <v>46310</v>
      </c>
      <c r="C1934" s="1" t="s">
        <v>103</v>
      </c>
      <c r="D1934" s="1">
        <f t="shared" si="32"/>
        <v>10</v>
      </c>
    </row>
    <row r="1935" spans="1:4" x14ac:dyDescent="0.35">
      <c r="A1935" s="1">
        <v>47331</v>
      </c>
      <c r="B1935" s="2">
        <v>46310</v>
      </c>
      <c r="C1935" s="1" t="s">
        <v>103</v>
      </c>
      <c r="D1935" s="1">
        <f t="shared" si="32"/>
        <v>10</v>
      </c>
    </row>
    <row r="1936" spans="1:4" x14ac:dyDescent="0.35">
      <c r="A1936" s="1">
        <v>47328</v>
      </c>
      <c r="B1936" s="2">
        <v>46310</v>
      </c>
      <c r="C1936" s="1" t="s">
        <v>9</v>
      </c>
      <c r="D1936" s="1">
        <f t="shared" si="32"/>
        <v>10</v>
      </c>
    </row>
    <row r="1937" spans="1:4" x14ac:dyDescent="0.35">
      <c r="A1937" s="1">
        <v>47319</v>
      </c>
      <c r="B1937" s="2">
        <v>46310</v>
      </c>
      <c r="C1937" s="1" t="s">
        <v>17</v>
      </c>
      <c r="D1937" s="1">
        <f t="shared" si="32"/>
        <v>10</v>
      </c>
    </row>
    <row r="1938" spans="1:4" x14ac:dyDescent="0.35">
      <c r="A1938" s="1">
        <v>47318</v>
      </c>
      <c r="B1938" s="2">
        <v>46310</v>
      </c>
      <c r="C1938" s="1" t="s">
        <v>17</v>
      </c>
      <c r="D1938" s="1">
        <f t="shared" si="32"/>
        <v>10</v>
      </c>
    </row>
    <row r="1939" spans="1:4" x14ac:dyDescent="0.35">
      <c r="A1939" s="1">
        <v>47315</v>
      </c>
      <c r="B1939" s="2">
        <v>46310</v>
      </c>
      <c r="C1939" s="1" t="s">
        <v>9</v>
      </c>
      <c r="D1939" s="1">
        <f t="shared" si="32"/>
        <v>10</v>
      </c>
    </row>
    <row r="1940" spans="1:4" x14ac:dyDescent="0.35">
      <c r="A1940" s="1">
        <v>47312</v>
      </c>
      <c r="B1940" s="2">
        <v>46310</v>
      </c>
      <c r="C1940" s="1" t="s">
        <v>7</v>
      </c>
      <c r="D1940" s="1">
        <f t="shared" si="32"/>
        <v>10</v>
      </c>
    </row>
    <row r="1941" spans="1:4" x14ac:dyDescent="0.35">
      <c r="A1941" s="1">
        <v>47311</v>
      </c>
      <c r="B1941" s="2">
        <v>46310</v>
      </c>
      <c r="C1941" s="1" t="s">
        <v>9</v>
      </c>
      <c r="D1941" s="1">
        <f t="shared" si="32"/>
        <v>10</v>
      </c>
    </row>
    <row r="1942" spans="1:4" x14ac:dyDescent="0.35">
      <c r="A1942" s="1">
        <v>47310</v>
      </c>
      <c r="B1942" s="2">
        <v>46310</v>
      </c>
      <c r="C1942" s="1" t="s">
        <v>9</v>
      </c>
      <c r="D1942" s="1">
        <f t="shared" si="32"/>
        <v>10</v>
      </c>
    </row>
    <row r="1943" spans="1:4" x14ac:dyDescent="0.35">
      <c r="A1943" s="1">
        <v>47309</v>
      </c>
      <c r="B1943" s="2">
        <v>46310</v>
      </c>
      <c r="C1943" s="1" t="s">
        <v>9</v>
      </c>
      <c r="D1943" s="1">
        <f t="shared" si="32"/>
        <v>10</v>
      </c>
    </row>
    <row r="1944" spans="1:4" x14ac:dyDescent="0.35">
      <c r="A1944" s="1">
        <v>47308</v>
      </c>
      <c r="B1944" s="2">
        <v>46310</v>
      </c>
      <c r="C1944" s="1" t="s">
        <v>9</v>
      </c>
      <c r="D1944" s="1">
        <f t="shared" si="32"/>
        <v>10</v>
      </c>
    </row>
    <row r="1945" spans="1:4" x14ac:dyDescent="0.35">
      <c r="A1945" s="1">
        <v>47306</v>
      </c>
      <c r="B1945" s="2">
        <v>46310</v>
      </c>
      <c r="C1945" s="1" t="s">
        <v>9</v>
      </c>
      <c r="D1945" s="1">
        <f t="shared" si="32"/>
        <v>10</v>
      </c>
    </row>
    <row r="1946" spans="1:4" x14ac:dyDescent="0.35">
      <c r="A1946" s="1">
        <v>47305</v>
      </c>
      <c r="B1946" s="2">
        <v>46310</v>
      </c>
      <c r="C1946" s="1" t="s">
        <v>9</v>
      </c>
      <c r="D1946" s="1">
        <f t="shared" si="32"/>
        <v>10</v>
      </c>
    </row>
    <row r="1947" spans="1:4" x14ac:dyDescent="0.35">
      <c r="A1947" s="1">
        <v>47304</v>
      </c>
      <c r="B1947" s="2">
        <v>46310</v>
      </c>
      <c r="C1947" s="1" t="s">
        <v>3</v>
      </c>
      <c r="D1947" s="1">
        <f t="shared" si="32"/>
        <v>10</v>
      </c>
    </row>
    <row r="1948" spans="1:4" x14ac:dyDescent="0.35">
      <c r="A1948" s="1">
        <v>47303</v>
      </c>
      <c r="B1948" s="2">
        <v>46310</v>
      </c>
      <c r="C1948" s="1" t="s">
        <v>3</v>
      </c>
      <c r="D1948" s="1">
        <f t="shared" si="32"/>
        <v>10</v>
      </c>
    </row>
    <row r="1949" spans="1:4" x14ac:dyDescent="0.35">
      <c r="A1949" s="1">
        <v>47299</v>
      </c>
      <c r="B1949" s="2">
        <v>46310</v>
      </c>
      <c r="C1949" s="1" t="s">
        <v>9</v>
      </c>
      <c r="D1949" s="1">
        <f t="shared" si="32"/>
        <v>10</v>
      </c>
    </row>
    <row r="1950" spans="1:4" x14ac:dyDescent="0.35">
      <c r="A1950" s="1">
        <v>47298</v>
      </c>
      <c r="B1950" s="2">
        <v>46310</v>
      </c>
      <c r="C1950" s="1" t="s">
        <v>19</v>
      </c>
      <c r="D1950" s="1">
        <f t="shared" si="32"/>
        <v>10</v>
      </c>
    </row>
    <row r="1951" spans="1:4" x14ac:dyDescent="0.35">
      <c r="A1951" s="1">
        <v>47297</v>
      </c>
      <c r="B1951" s="2">
        <v>46310</v>
      </c>
      <c r="C1951" s="1" t="s">
        <v>19</v>
      </c>
      <c r="D1951" s="1">
        <f t="shared" si="32"/>
        <v>10</v>
      </c>
    </row>
    <row r="1952" spans="1:4" x14ac:dyDescent="0.35">
      <c r="A1952" s="1">
        <v>47294</v>
      </c>
      <c r="B1952" s="2">
        <v>46310</v>
      </c>
      <c r="C1952" s="1" t="s">
        <v>9</v>
      </c>
      <c r="D1952" s="1">
        <f t="shared" ref="D1952:D1983" si="33">MONTH(B1952)</f>
        <v>10</v>
      </c>
    </row>
    <row r="1953" spans="1:4" x14ac:dyDescent="0.35">
      <c r="A1953" s="1">
        <v>47293</v>
      </c>
      <c r="B1953" s="2">
        <v>46310</v>
      </c>
      <c r="C1953" s="1" t="s">
        <v>21</v>
      </c>
      <c r="D1953" s="1">
        <f t="shared" si="33"/>
        <v>10</v>
      </c>
    </row>
    <row r="1954" spans="1:4" x14ac:dyDescent="0.35">
      <c r="A1954" s="1">
        <v>47292</v>
      </c>
      <c r="B1954" s="2">
        <v>46310</v>
      </c>
      <c r="C1954" s="1" t="s">
        <v>19</v>
      </c>
      <c r="D1954" s="1">
        <f t="shared" si="33"/>
        <v>10</v>
      </c>
    </row>
    <row r="1955" spans="1:4" x14ac:dyDescent="0.35">
      <c r="A1955" s="1">
        <v>47289</v>
      </c>
      <c r="B1955" s="2">
        <v>46309</v>
      </c>
      <c r="C1955" s="1" t="s">
        <v>3</v>
      </c>
      <c r="D1955" s="1">
        <f t="shared" si="33"/>
        <v>10</v>
      </c>
    </row>
    <row r="1956" spans="1:4" x14ac:dyDescent="0.35">
      <c r="A1956" s="1">
        <v>47281</v>
      </c>
      <c r="B1956" s="2">
        <v>46309</v>
      </c>
      <c r="C1956" s="1" t="s">
        <v>21</v>
      </c>
      <c r="D1956" s="1">
        <f t="shared" si="33"/>
        <v>10</v>
      </c>
    </row>
    <row r="1957" spans="1:4" x14ac:dyDescent="0.35">
      <c r="A1957" s="1">
        <v>47280</v>
      </c>
      <c r="B1957" s="2">
        <v>46309</v>
      </c>
      <c r="C1957" s="1" t="s">
        <v>21</v>
      </c>
      <c r="D1957" s="1">
        <f t="shared" si="33"/>
        <v>10</v>
      </c>
    </row>
    <row r="1958" spans="1:4" x14ac:dyDescent="0.35">
      <c r="A1958" s="1">
        <v>47277</v>
      </c>
      <c r="B1958" s="2">
        <v>46309</v>
      </c>
      <c r="C1958" s="1" t="s">
        <v>17</v>
      </c>
      <c r="D1958" s="1">
        <f t="shared" si="33"/>
        <v>10</v>
      </c>
    </row>
    <row r="1959" spans="1:4" x14ac:dyDescent="0.35">
      <c r="A1959" s="1">
        <v>47276</v>
      </c>
      <c r="B1959" s="2">
        <v>46309</v>
      </c>
      <c r="C1959" s="1" t="s">
        <v>17</v>
      </c>
      <c r="D1959" s="1">
        <f t="shared" si="33"/>
        <v>10</v>
      </c>
    </row>
    <row r="1960" spans="1:4" x14ac:dyDescent="0.35">
      <c r="A1960" s="1">
        <v>47275</v>
      </c>
      <c r="B1960" s="2">
        <v>46309</v>
      </c>
      <c r="C1960" s="1" t="s">
        <v>17</v>
      </c>
      <c r="D1960" s="1">
        <f t="shared" si="33"/>
        <v>10</v>
      </c>
    </row>
    <row r="1961" spans="1:4" x14ac:dyDescent="0.35">
      <c r="A1961" s="1">
        <v>47274</v>
      </c>
      <c r="B1961" s="2">
        <v>46309</v>
      </c>
      <c r="C1961" s="1" t="s">
        <v>7</v>
      </c>
      <c r="D1961" s="1">
        <f t="shared" si="33"/>
        <v>10</v>
      </c>
    </row>
    <row r="1962" spans="1:4" x14ac:dyDescent="0.35">
      <c r="A1962" s="1">
        <v>47273</v>
      </c>
      <c r="B1962" s="2">
        <v>46309</v>
      </c>
      <c r="C1962" s="1" t="s">
        <v>7</v>
      </c>
      <c r="D1962" s="1">
        <f t="shared" si="33"/>
        <v>10</v>
      </c>
    </row>
    <row r="1963" spans="1:4" x14ac:dyDescent="0.35">
      <c r="A1963" s="1">
        <v>47268</v>
      </c>
      <c r="B1963" s="2">
        <v>46309</v>
      </c>
      <c r="C1963" s="1" t="s">
        <v>6</v>
      </c>
      <c r="D1963" s="1">
        <f t="shared" si="33"/>
        <v>10</v>
      </c>
    </row>
    <row r="1964" spans="1:4" x14ac:dyDescent="0.35">
      <c r="A1964" s="1">
        <v>47267</v>
      </c>
      <c r="B1964" s="2">
        <v>46309</v>
      </c>
      <c r="C1964" s="1" t="s">
        <v>6</v>
      </c>
      <c r="D1964" s="1">
        <f t="shared" si="33"/>
        <v>10</v>
      </c>
    </row>
    <row r="1965" spans="1:4" x14ac:dyDescent="0.35">
      <c r="A1965" s="1">
        <v>47266</v>
      </c>
      <c r="B1965" s="2">
        <v>46309</v>
      </c>
      <c r="C1965" s="1" t="s">
        <v>21</v>
      </c>
      <c r="D1965" s="1">
        <f t="shared" si="33"/>
        <v>10</v>
      </c>
    </row>
    <row r="1966" spans="1:4" x14ac:dyDescent="0.35">
      <c r="A1966" s="1">
        <v>47265</v>
      </c>
      <c r="B1966" s="2">
        <v>46309</v>
      </c>
      <c r="C1966" s="1" t="s">
        <v>21</v>
      </c>
      <c r="D1966" s="1">
        <f t="shared" si="33"/>
        <v>10</v>
      </c>
    </row>
    <row r="1967" spans="1:4" x14ac:dyDescent="0.35">
      <c r="A1967" s="1">
        <v>47264</v>
      </c>
      <c r="B1967" s="2">
        <v>46309</v>
      </c>
      <c r="C1967" s="1" t="s">
        <v>10</v>
      </c>
      <c r="D1967" s="1">
        <f t="shared" si="33"/>
        <v>10</v>
      </c>
    </row>
    <row r="1968" spans="1:4" x14ac:dyDescent="0.35">
      <c r="A1968" s="1">
        <v>47263</v>
      </c>
      <c r="B1968" s="2">
        <v>46309</v>
      </c>
      <c r="C1968" s="1" t="s">
        <v>10</v>
      </c>
      <c r="D1968" s="1">
        <f t="shared" si="33"/>
        <v>10</v>
      </c>
    </row>
    <row r="1969" spans="1:4" x14ac:dyDescent="0.35">
      <c r="A1969" s="1">
        <v>47262</v>
      </c>
      <c r="B1969" s="2">
        <v>46309</v>
      </c>
      <c r="C1969" s="1" t="s">
        <v>3</v>
      </c>
      <c r="D1969" s="1">
        <f t="shared" si="33"/>
        <v>10</v>
      </c>
    </row>
    <row r="1970" spans="1:4" x14ac:dyDescent="0.35">
      <c r="A1970" s="1">
        <v>47261</v>
      </c>
      <c r="B1970" s="2">
        <v>46309</v>
      </c>
      <c r="C1970" s="1" t="s">
        <v>21</v>
      </c>
      <c r="D1970" s="1">
        <f t="shared" si="33"/>
        <v>10</v>
      </c>
    </row>
    <row r="1971" spans="1:4" x14ac:dyDescent="0.35">
      <c r="A1971" s="1">
        <v>47260</v>
      </c>
      <c r="B1971" s="2">
        <v>46309</v>
      </c>
      <c r="C1971" s="1" t="s">
        <v>21</v>
      </c>
      <c r="D1971" s="1">
        <f t="shared" si="33"/>
        <v>10</v>
      </c>
    </row>
    <row r="1972" spans="1:4" x14ac:dyDescent="0.35">
      <c r="A1972" s="1">
        <v>47255</v>
      </c>
      <c r="B1972" s="2">
        <v>46309</v>
      </c>
      <c r="C1972" s="1" t="s">
        <v>3</v>
      </c>
      <c r="D1972" s="1">
        <f t="shared" si="33"/>
        <v>10</v>
      </c>
    </row>
    <row r="1973" spans="1:4" x14ac:dyDescent="0.35">
      <c r="A1973" s="1">
        <v>47254</v>
      </c>
      <c r="B1973" s="2">
        <v>46309</v>
      </c>
      <c r="C1973" s="1" t="s">
        <v>3</v>
      </c>
      <c r="D1973" s="1">
        <f t="shared" si="33"/>
        <v>10</v>
      </c>
    </row>
    <row r="1974" spans="1:4" x14ac:dyDescent="0.35">
      <c r="A1974" s="1">
        <v>47246</v>
      </c>
      <c r="B1974" s="2">
        <v>46308</v>
      </c>
      <c r="C1974" s="1" t="s">
        <v>3</v>
      </c>
      <c r="D1974" s="1">
        <f t="shared" si="33"/>
        <v>10</v>
      </c>
    </row>
    <row r="1975" spans="1:4" x14ac:dyDescent="0.35">
      <c r="A1975" s="1">
        <v>47245</v>
      </c>
      <c r="B1975" s="2">
        <v>46308</v>
      </c>
      <c r="C1975" s="1" t="s">
        <v>10</v>
      </c>
      <c r="D1975" s="1">
        <f t="shared" si="33"/>
        <v>10</v>
      </c>
    </row>
    <row r="1976" spans="1:4" x14ac:dyDescent="0.35">
      <c r="A1976" s="1">
        <v>47244</v>
      </c>
      <c r="B1976" s="2">
        <v>46308</v>
      </c>
      <c r="C1976" s="1" t="s">
        <v>10</v>
      </c>
      <c r="D1976" s="1">
        <f t="shared" si="33"/>
        <v>10</v>
      </c>
    </row>
    <row r="1977" spans="1:4" x14ac:dyDescent="0.35">
      <c r="A1977" s="1">
        <v>47232</v>
      </c>
      <c r="B1977" s="2">
        <v>46308</v>
      </c>
      <c r="C1977" s="1" t="s">
        <v>22</v>
      </c>
      <c r="D1977" s="1">
        <f t="shared" si="33"/>
        <v>10</v>
      </c>
    </row>
    <row r="1978" spans="1:4" x14ac:dyDescent="0.35">
      <c r="A1978" s="1">
        <v>47231</v>
      </c>
      <c r="B1978" s="2">
        <v>46308</v>
      </c>
      <c r="C1978" s="1" t="s">
        <v>22</v>
      </c>
      <c r="D1978" s="1">
        <f t="shared" si="33"/>
        <v>10</v>
      </c>
    </row>
    <row r="1979" spans="1:4" x14ac:dyDescent="0.35">
      <c r="A1979" s="1">
        <v>47230</v>
      </c>
      <c r="B1979" s="2">
        <v>46308</v>
      </c>
      <c r="C1979" s="1" t="s">
        <v>22</v>
      </c>
      <c r="D1979" s="1">
        <f t="shared" si="33"/>
        <v>10</v>
      </c>
    </row>
    <row r="1980" spans="1:4" x14ac:dyDescent="0.35">
      <c r="A1980" s="1">
        <v>47229</v>
      </c>
      <c r="B1980" s="2">
        <v>46308</v>
      </c>
      <c r="C1980" s="1" t="s">
        <v>24</v>
      </c>
      <c r="D1980" s="1">
        <f t="shared" si="33"/>
        <v>10</v>
      </c>
    </row>
    <row r="1981" spans="1:4" x14ac:dyDescent="0.35">
      <c r="A1981" s="1">
        <v>47228</v>
      </c>
      <c r="B1981" s="2">
        <v>46308</v>
      </c>
      <c r="C1981" s="1" t="s">
        <v>24</v>
      </c>
      <c r="D1981" s="1">
        <f t="shared" si="33"/>
        <v>10</v>
      </c>
    </row>
    <row r="1982" spans="1:4" x14ac:dyDescent="0.35">
      <c r="A1982" s="1">
        <v>47227</v>
      </c>
      <c r="B1982" s="2">
        <v>46308</v>
      </c>
      <c r="C1982" s="1" t="s">
        <v>7</v>
      </c>
      <c r="D1982" s="1">
        <f t="shared" si="33"/>
        <v>10</v>
      </c>
    </row>
    <row r="1983" spans="1:4" x14ac:dyDescent="0.35">
      <c r="A1983" s="1">
        <v>47226</v>
      </c>
      <c r="B1983" s="2">
        <v>46308</v>
      </c>
      <c r="C1983" s="1" t="s">
        <v>24</v>
      </c>
      <c r="D1983" s="1">
        <f t="shared" si="33"/>
        <v>10</v>
      </c>
    </row>
    <row r="1984" spans="1:4" x14ac:dyDescent="0.35">
      <c r="A1984" s="1">
        <v>47225</v>
      </c>
      <c r="B1984" s="2">
        <v>46308</v>
      </c>
      <c r="C1984" s="1" t="s">
        <v>24</v>
      </c>
      <c r="D1984" s="1">
        <f t="shared" ref="D1984:D2010" si="34">MONTH(B1984)</f>
        <v>10</v>
      </c>
    </row>
    <row r="1985" spans="1:4" x14ac:dyDescent="0.35">
      <c r="A1985" s="1">
        <v>47220</v>
      </c>
      <c r="B1985" s="2">
        <v>46308</v>
      </c>
      <c r="C1985" s="1" t="s">
        <v>28</v>
      </c>
      <c r="D1985" s="1">
        <f t="shared" si="34"/>
        <v>10</v>
      </c>
    </row>
    <row r="1986" spans="1:4" x14ac:dyDescent="0.35">
      <c r="A1986" s="1">
        <v>47219</v>
      </c>
      <c r="B1986" s="2">
        <v>46308</v>
      </c>
      <c r="C1986" s="1" t="s">
        <v>28</v>
      </c>
      <c r="D1986" s="1">
        <f t="shared" si="34"/>
        <v>10</v>
      </c>
    </row>
    <row r="1987" spans="1:4" x14ac:dyDescent="0.35">
      <c r="A1987" s="1">
        <v>47218</v>
      </c>
      <c r="B1987" s="2">
        <v>46308</v>
      </c>
      <c r="C1987" s="1" t="s">
        <v>28</v>
      </c>
      <c r="D1987" s="1">
        <f t="shared" si="34"/>
        <v>10</v>
      </c>
    </row>
    <row r="1988" spans="1:4" x14ac:dyDescent="0.35">
      <c r="A1988" s="1">
        <v>47216</v>
      </c>
      <c r="B1988" s="2">
        <v>46308</v>
      </c>
      <c r="C1988" s="1" t="s">
        <v>28</v>
      </c>
      <c r="D1988" s="1">
        <f t="shared" si="34"/>
        <v>10</v>
      </c>
    </row>
    <row r="1989" spans="1:4" x14ac:dyDescent="0.35">
      <c r="A1989" s="1">
        <v>47215</v>
      </c>
      <c r="B1989" s="2">
        <v>46308</v>
      </c>
      <c r="C1989" s="1" t="s">
        <v>28</v>
      </c>
      <c r="D1989" s="1">
        <f t="shared" si="34"/>
        <v>10</v>
      </c>
    </row>
    <row r="1990" spans="1:4" x14ac:dyDescent="0.35">
      <c r="A1990" s="1">
        <v>47214</v>
      </c>
      <c r="B1990" s="2">
        <v>46308</v>
      </c>
      <c r="C1990" s="1" t="s">
        <v>21</v>
      </c>
      <c r="D1990" s="1">
        <f t="shared" si="34"/>
        <v>10</v>
      </c>
    </row>
    <row r="1991" spans="1:4" x14ac:dyDescent="0.35">
      <c r="A1991" s="1">
        <v>47213</v>
      </c>
      <c r="B1991" s="2">
        <v>46308</v>
      </c>
      <c r="C1991" s="1" t="s">
        <v>17</v>
      </c>
      <c r="D1991" s="1">
        <f t="shared" si="34"/>
        <v>10</v>
      </c>
    </row>
    <row r="1992" spans="1:4" x14ac:dyDescent="0.35">
      <c r="A1992" s="1">
        <v>47212</v>
      </c>
      <c r="B1992" s="2">
        <v>46308</v>
      </c>
      <c r="C1992" s="1" t="s">
        <v>17</v>
      </c>
      <c r="D1992" s="1">
        <f t="shared" si="34"/>
        <v>10</v>
      </c>
    </row>
    <row r="1993" spans="1:4" x14ac:dyDescent="0.35">
      <c r="A1993" s="1">
        <v>47211</v>
      </c>
      <c r="B1993" s="2">
        <v>46308</v>
      </c>
      <c r="C1993" s="1" t="s">
        <v>17</v>
      </c>
      <c r="D1993" s="1">
        <f t="shared" si="34"/>
        <v>10</v>
      </c>
    </row>
    <row r="1994" spans="1:4" x14ac:dyDescent="0.35">
      <c r="A1994" s="1">
        <v>47210</v>
      </c>
      <c r="B1994" s="2">
        <v>46308</v>
      </c>
      <c r="C1994" s="1" t="s">
        <v>17</v>
      </c>
      <c r="D1994" s="1">
        <f t="shared" si="34"/>
        <v>10</v>
      </c>
    </row>
    <row r="1995" spans="1:4" x14ac:dyDescent="0.35">
      <c r="A1995" s="1">
        <v>47208</v>
      </c>
      <c r="B1995" s="2">
        <v>46308</v>
      </c>
      <c r="C1995" s="1" t="s">
        <v>19</v>
      </c>
      <c r="D1995" s="1">
        <f t="shared" si="34"/>
        <v>10</v>
      </c>
    </row>
    <row r="1996" spans="1:4" x14ac:dyDescent="0.35">
      <c r="A1996" s="1">
        <v>47206</v>
      </c>
      <c r="B1996" s="2">
        <v>46308</v>
      </c>
      <c r="C1996" s="1" t="s">
        <v>9</v>
      </c>
      <c r="D1996" s="1">
        <f t="shared" si="34"/>
        <v>10</v>
      </c>
    </row>
    <row r="1997" spans="1:4" x14ac:dyDescent="0.35">
      <c r="A1997" s="1">
        <v>47203</v>
      </c>
      <c r="B1997" s="2">
        <v>46308</v>
      </c>
      <c r="C1997" s="1" t="s">
        <v>103</v>
      </c>
      <c r="D1997" s="1">
        <f t="shared" si="34"/>
        <v>10</v>
      </c>
    </row>
    <row r="1998" spans="1:4" x14ac:dyDescent="0.35">
      <c r="A1998" s="1">
        <v>47202</v>
      </c>
      <c r="B1998" s="2">
        <v>46308</v>
      </c>
      <c r="C1998" s="1" t="s">
        <v>103</v>
      </c>
      <c r="D1998" s="1">
        <f t="shared" si="34"/>
        <v>10</v>
      </c>
    </row>
    <row r="1999" spans="1:4" x14ac:dyDescent="0.35">
      <c r="A1999" s="1">
        <v>47201</v>
      </c>
      <c r="B1999" s="2">
        <v>46308</v>
      </c>
      <c r="C1999" s="1" t="s">
        <v>7</v>
      </c>
      <c r="D1999" s="1">
        <f t="shared" si="34"/>
        <v>10</v>
      </c>
    </row>
    <row r="2000" spans="1:4" x14ac:dyDescent="0.35">
      <c r="A2000" s="1">
        <v>47200</v>
      </c>
      <c r="B2000" s="2">
        <v>46308</v>
      </c>
      <c r="C2000" s="1" t="s">
        <v>21</v>
      </c>
      <c r="D2000" s="1">
        <f t="shared" si="34"/>
        <v>10</v>
      </c>
    </row>
    <row r="2001" spans="1:4" x14ac:dyDescent="0.35">
      <c r="A2001" s="1">
        <v>47199</v>
      </c>
      <c r="B2001" s="2">
        <v>46308</v>
      </c>
      <c r="C2001" s="1" t="s">
        <v>21</v>
      </c>
      <c r="D2001" s="1">
        <f t="shared" si="34"/>
        <v>10</v>
      </c>
    </row>
    <row r="2002" spans="1:4" x14ac:dyDescent="0.35">
      <c r="A2002" s="1">
        <v>47198</v>
      </c>
      <c r="B2002" s="2">
        <v>46308</v>
      </c>
      <c r="C2002" s="1" t="s">
        <v>15</v>
      </c>
      <c r="D2002" s="1">
        <f t="shared" si="34"/>
        <v>10</v>
      </c>
    </row>
    <row r="2003" spans="1:4" x14ac:dyDescent="0.35">
      <c r="A2003" s="1">
        <v>47197</v>
      </c>
      <c r="B2003" s="2">
        <v>46308</v>
      </c>
      <c r="C2003" s="1" t="s">
        <v>6</v>
      </c>
      <c r="D2003" s="1">
        <f t="shared" si="34"/>
        <v>10</v>
      </c>
    </row>
    <row r="2004" spans="1:4" x14ac:dyDescent="0.35">
      <c r="A2004" s="1">
        <v>47196</v>
      </c>
      <c r="B2004" s="2">
        <v>46308</v>
      </c>
      <c r="C2004" s="1" t="s">
        <v>6</v>
      </c>
      <c r="D2004" s="1">
        <f t="shared" si="34"/>
        <v>10</v>
      </c>
    </row>
    <row r="2005" spans="1:4" x14ac:dyDescent="0.35">
      <c r="A2005" s="1">
        <v>47194</v>
      </c>
      <c r="B2005" s="2">
        <v>46308</v>
      </c>
      <c r="C2005" s="1" t="s">
        <v>9</v>
      </c>
      <c r="D2005" s="1">
        <f t="shared" si="34"/>
        <v>10</v>
      </c>
    </row>
    <row r="2006" spans="1:4" x14ac:dyDescent="0.35">
      <c r="A2006" s="1">
        <v>47193</v>
      </c>
      <c r="B2006" s="2">
        <v>46308</v>
      </c>
      <c r="C2006" s="1" t="s">
        <v>19</v>
      </c>
      <c r="D2006" s="1">
        <f t="shared" si="34"/>
        <v>10</v>
      </c>
    </row>
    <row r="2007" spans="1:4" x14ac:dyDescent="0.35">
      <c r="A2007" s="1">
        <v>47192</v>
      </c>
      <c r="B2007" s="2">
        <v>46308</v>
      </c>
      <c r="C2007" s="1" t="s">
        <v>21</v>
      </c>
      <c r="D2007" s="1">
        <f t="shared" si="34"/>
        <v>10</v>
      </c>
    </row>
    <row r="2008" spans="1:4" x14ac:dyDescent="0.35">
      <c r="A2008" s="1">
        <v>47191</v>
      </c>
      <c r="B2008" s="2">
        <v>46308</v>
      </c>
      <c r="C2008" s="1" t="s">
        <v>19</v>
      </c>
      <c r="D2008" s="1">
        <f t="shared" si="34"/>
        <v>10</v>
      </c>
    </row>
    <row r="2009" spans="1:4" x14ac:dyDescent="0.35">
      <c r="A2009" s="1">
        <v>47190</v>
      </c>
      <c r="B2009" s="2">
        <v>46308</v>
      </c>
      <c r="C2009" s="1" t="s">
        <v>9</v>
      </c>
      <c r="D2009" s="1">
        <f t="shared" si="34"/>
        <v>10</v>
      </c>
    </row>
    <row r="2010" spans="1:4" x14ac:dyDescent="0.35">
      <c r="A2010" s="1">
        <v>47189</v>
      </c>
      <c r="B2010" s="2">
        <v>46308</v>
      </c>
      <c r="C2010" s="1" t="s">
        <v>3</v>
      </c>
      <c r="D2010" s="1">
        <f t="shared" si="34"/>
        <v>10</v>
      </c>
    </row>
    <row r="2011" spans="1:4" x14ac:dyDescent="0.35">
      <c r="A2011" s="1">
        <v>47424</v>
      </c>
      <c r="B2011" s="2">
        <v>46312</v>
      </c>
      <c r="C2011" s="1" t="s">
        <v>10</v>
      </c>
      <c r="D2011" s="1">
        <f t="shared" ref="D2011:D2042" si="35">MONTH(B2011)</f>
        <v>10</v>
      </c>
    </row>
    <row r="2012" spans="1:4" x14ac:dyDescent="0.35">
      <c r="A2012" s="1">
        <v>47417</v>
      </c>
      <c r="B2012" s="2">
        <v>46312</v>
      </c>
      <c r="C2012" s="1" t="s">
        <v>10</v>
      </c>
      <c r="D2012" s="1">
        <f t="shared" si="35"/>
        <v>10</v>
      </c>
    </row>
    <row r="2013" spans="1:4" x14ac:dyDescent="0.35">
      <c r="A2013" s="1">
        <v>47414</v>
      </c>
      <c r="B2013" s="2">
        <v>46312</v>
      </c>
      <c r="C2013" s="1" t="s">
        <v>17</v>
      </c>
      <c r="D2013" s="1">
        <f t="shared" si="35"/>
        <v>10</v>
      </c>
    </row>
    <row r="2014" spans="1:4" x14ac:dyDescent="0.35">
      <c r="A2014" s="1">
        <v>47413</v>
      </c>
      <c r="B2014" s="2">
        <v>46312</v>
      </c>
      <c r="C2014" s="1" t="s">
        <v>17</v>
      </c>
      <c r="D2014" s="1">
        <f t="shared" si="35"/>
        <v>10</v>
      </c>
    </row>
    <row r="2015" spans="1:4" x14ac:dyDescent="0.35">
      <c r="A2015" s="1">
        <v>47412</v>
      </c>
      <c r="B2015" s="2">
        <v>46312</v>
      </c>
      <c r="C2015" s="1" t="s">
        <v>17</v>
      </c>
      <c r="D2015" s="1">
        <f t="shared" si="35"/>
        <v>10</v>
      </c>
    </row>
    <row r="2016" spans="1:4" x14ac:dyDescent="0.35">
      <c r="A2016" s="1">
        <v>47407</v>
      </c>
      <c r="B2016" s="2">
        <v>46312</v>
      </c>
      <c r="C2016" s="1" t="s">
        <v>10</v>
      </c>
      <c r="D2016" s="1">
        <f t="shared" si="35"/>
        <v>10</v>
      </c>
    </row>
    <row r="2017" spans="1:4" x14ac:dyDescent="0.35">
      <c r="A2017" s="1">
        <v>47405</v>
      </c>
      <c r="B2017" s="2">
        <v>46311</v>
      </c>
      <c r="C2017" s="1" t="s">
        <v>15</v>
      </c>
      <c r="D2017" s="1">
        <f t="shared" si="35"/>
        <v>10</v>
      </c>
    </row>
    <row r="2018" spans="1:4" x14ac:dyDescent="0.35">
      <c r="A2018" s="1">
        <v>47404</v>
      </c>
      <c r="B2018" s="2">
        <v>46311</v>
      </c>
      <c r="C2018" s="1" t="s">
        <v>15</v>
      </c>
      <c r="D2018" s="1">
        <f t="shared" si="35"/>
        <v>10</v>
      </c>
    </row>
    <row r="2019" spans="1:4" x14ac:dyDescent="0.35">
      <c r="A2019" s="1">
        <v>47403</v>
      </c>
      <c r="B2019" s="2">
        <v>46311</v>
      </c>
      <c r="C2019" s="1" t="s">
        <v>15</v>
      </c>
      <c r="D2019" s="1">
        <f t="shared" si="35"/>
        <v>10</v>
      </c>
    </row>
    <row r="2020" spans="1:4" x14ac:dyDescent="0.35">
      <c r="A2020" s="1">
        <v>47402</v>
      </c>
      <c r="B2020" s="2">
        <v>46311</v>
      </c>
      <c r="C2020" s="1" t="s">
        <v>10</v>
      </c>
      <c r="D2020" s="1">
        <f t="shared" si="35"/>
        <v>10</v>
      </c>
    </row>
    <row r="2021" spans="1:4" x14ac:dyDescent="0.35">
      <c r="A2021" s="1">
        <v>47401</v>
      </c>
      <c r="B2021" s="2">
        <v>46311</v>
      </c>
      <c r="C2021" s="1" t="s">
        <v>9</v>
      </c>
      <c r="D2021" s="1">
        <f t="shared" si="35"/>
        <v>10</v>
      </c>
    </row>
    <row r="2022" spans="1:4" x14ac:dyDescent="0.35">
      <c r="A2022" s="1">
        <v>47398</v>
      </c>
      <c r="B2022" s="2">
        <v>46311</v>
      </c>
      <c r="C2022" s="1" t="s">
        <v>21</v>
      </c>
      <c r="D2022" s="1">
        <f t="shared" si="35"/>
        <v>10</v>
      </c>
    </row>
    <row r="2023" spans="1:4" x14ac:dyDescent="0.35">
      <c r="A2023" s="1">
        <v>47395</v>
      </c>
      <c r="B2023" s="2">
        <v>46311</v>
      </c>
      <c r="C2023" s="1" t="s">
        <v>9</v>
      </c>
      <c r="D2023" s="1">
        <f t="shared" si="35"/>
        <v>10</v>
      </c>
    </row>
    <row r="2024" spans="1:4" x14ac:dyDescent="0.35">
      <c r="A2024" s="1">
        <v>47394</v>
      </c>
      <c r="B2024" s="2">
        <v>46311</v>
      </c>
      <c r="C2024" s="1" t="s">
        <v>9</v>
      </c>
      <c r="D2024" s="1">
        <f t="shared" si="35"/>
        <v>10</v>
      </c>
    </row>
    <row r="2025" spans="1:4" x14ac:dyDescent="0.35">
      <c r="A2025" s="1">
        <v>47391</v>
      </c>
      <c r="B2025" s="2">
        <v>46311</v>
      </c>
      <c r="C2025" s="1" t="s">
        <v>22</v>
      </c>
      <c r="D2025" s="1">
        <f t="shared" si="35"/>
        <v>10</v>
      </c>
    </row>
    <row r="2026" spans="1:4" x14ac:dyDescent="0.35">
      <c r="A2026" s="1">
        <v>47390</v>
      </c>
      <c r="B2026" s="2">
        <v>46311</v>
      </c>
      <c r="C2026" s="1" t="s">
        <v>22</v>
      </c>
      <c r="D2026" s="1">
        <f t="shared" si="35"/>
        <v>10</v>
      </c>
    </row>
    <row r="2027" spans="1:4" x14ac:dyDescent="0.35">
      <c r="A2027" s="1">
        <v>47389</v>
      </c>
      <c r="B2027" s="2">
        <v>46311</v>
      </c>
      <c r="C2027" s="1" t="s">
        <v>22</v>
      </c>
      <c r="D2027" s="1">
        <f t="shared" si="35"/>
        <v>10</v>
      </c>
    </row>
    <row r="2028" spans="1:4" x14ac:dyDescent="0.35">
      <c r="A2028" s="1">
        <v>47387</v>
      </c>
      <c r="B2028" s="2">
        <v>46311</v>
      </c>
      <c r="C2028" s="1" t="s">
        <v>22</v>
      </c>
      <c r="D2028" s="1">
        <f t="shared" si="35"/>
        <v>10</v>
      </c>
    </row>
    <row r="2029" spans="1:4" x14ac:dyDescent="0.35">
      <c r="A2029" s="1">
        <v>47386</v>
      </c>
      <c r="B2029" s="2">
        <v>46311</v>
      </c>
      <c r="C2029" s="1" t="s">
        <v>22</v>
      </c>
      <c r="D2029" s="1">
        <f t="shared" si="35"/>
        <v>10</v>
      </c>
    </row>
    <row r="2030" spans="1:4" x14ac:dyDescent="0.35">
      <c r="A2030" s="1">
        <v>47384</v>
      </c>
      <c r="B2030" s="2">
        <v>46311</v>
      </c>
      <c r="C2030" s="1" t="s">
        <v>22</v>
      </c>
      <c r="D2030" s="1">
        <f t="shared" si="35"/>
        <v>10</v>
      </c>
    </row>
    <row r="2031" spans="1:4" x14ac:dyDescent="0.35">
      <c r="A2031" s="1">
        <v>47382</v>
      </c>
      <c r="B2031" s="2">
        <v>46311</v>
      </c>
      <c r="C2031" s="1" t="s">
        <v>22</v>
      </c>
      <c r="D2031" s="1">
        <f t="shared" si="35"/>
        <v>10</v>
      </c>
    </row>
    <row r="2032" spans="1:4" x14ac:dyDescent="0.35">
      <c r="A2032" s="1">
        <v>47381</v>
      </c>
      <c r="B2032" s="2">
        <v>46311</v>
      </c>
      <c r="C2032" s="1" t="s">
        <v>22</v>
      </c>
      <c r="D2032" s="1">
        <f t="shared" si="35"/>
        <v>10</v>
      </c>
    </row>
    <row r="2033" spans="1:4" x14ac:dyDescent="0.35">
      <c r="A2033" s="1">
        <v>47379</v>
      </c>
      <c r="B2033" s="2">
        <v>46311</v>
      </c>
      <c r="C2033" s="1" t="s">
        <v>22</v>
      </c>
      <c r="D2033" s="1">
        <f t="shared" si="35"/>
        <v>10</v>
      </c>
    </row>
    <row r="2034" spans="1:4" x14ac:dyDescent="0.35">
      <c r="A2034" s="1">
        <v>47378</v>
      </c>
      <c r="B2034" s="2">
        <v>46311</v>
      </c>
      <c r="C2034" s="1" t="s">
        <v>22</v>
      </c>
      <c r="D2034" s="1">
        <f t="shared" si="35"/>
        <v>10</v>
      </c>
    </row>
    <row r="2035" spans="1:4" x14ac:dyDescent="0.35">
      <c r="A2035" s="1">
        <v>47376</v>
      </c>
      <c r="B2035" s="2">
        <v>46311</v>
      </c>
      <c r="C2035" s="1" t="s">
        <v>22</v>
      </c>
      <c r="D2035" s="1">
        <f t="shared" si="35"/>
        <v>10</v>
      </c>
    </row>
    <row r="2036" spans="1:4" x14ac:dyDescent="0.35">
      <c r="A2036" s="1">
        <v>47374</v>
      </c>
      <c r="B2036" s="2">
        <v>46311</v>
      </c>
      <c r="C2036" s="1" t="s">
        <v>22</v>
      </c>
      <c r="D2036" s="1">
        <f t="shared" si="35"/>
        <v>10</v>
      </c>
    </row>
    <row r="2037" spans="1:4" x14ac:dyDescent="0.35">
      <c r="A2037" s="1">
        <v>47372</v>
      </c>
      <c r="B2037" s="2">
        <v>46311</v>
      </c>
      <c r="C2037" s="1" t="s">
        <v>22</v>
      </c>
      <c r="D2037" s="1">
        <f t="shared" si="35"/>
        <v>10</v>
      </c>
    </row>
    <row r="2038" spans="1:4" x14ac:dyDescent="0.35">
      <c r="A2038" s="1">
        <v>47371</v>
      </c>
      <c r="B2038" s="2">
        <v>46311</v>
      </c>
      <c r="C2038" s="1" t="s">
        <v>22</v>
      </c>
      <c r="D2038" s="1">
        <f t="shared" si="35"/>
        <v>10</v>
      </c>
    </row>
    <row r="2039" spans="1:4" x14ac:dyDescent="0.35">
      <c r="A2039" s="1">
        <v>47365</v>
      </c>
      <c r="B2039" s="2">
        <v>46311</v>
      </c>
      <c r="C2039" s="1" t="s">
        <v>7</v>
      </c>
      <c r="D2039" s="1">
        <f t="shared" si="35"/>
        <v>10</v>
      </c>
    </row>
    <row r="2040" spans="1:4" x14ac:dyDescent="0.35">
      <c r="A2040" s="1">
        <v>47363</v>
      </c>
      <c r="B2040" s="2">
        <v>46311</v>
      </c>
      <c r="C2040" s="1" t="s">
        <v>7</v>
      </c>
      <c r="D2040" s="1">
        <f t="shared" si="35"/>
        <v>10</v>
      </c>
    </row>
    <row r="2041" spans="1:4" x14ac:dyDescent="0.35">
      <c r="A2041" s="1">
        <v>47360</v>
      </c>
      <c r="B2041" s="2">
        <v>46311</v>
      </c>
      <c r="C2041" s="1" t="s">
        <v>6</v>
      </c>
      <c r="D2041" s="1">
        <f t="shared" si="35"/>
        <v>10</v>
      </c>
    </row>
    <row r="2042" spans="1:4" x14ac:dyDescent="0.35">
      <c r="A2042" s="1">
        <v>47359</v>
      </c>
      <c r="B2042" s="2">
        <v>46311</v>
      </c>
      <c r="C2042" s="1" t="s">
        <v>6</v>
      </c>
      <c r="D2042" s="1">
        <f t="shared" si="35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91"/>
  <sheetViews>
    <sheetView showGridLines="0" workbookViewId="0">
      <selection sqref="A1:D191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7595</v>
      </c>
      <c r="B2" s="3">
        <v>46311.754166666666</v>
      </c>
      <c r="C2" s="1" t="s">
        <v>5</v>
      </c>
      <c r="D2" s="1">
        <f>IFERROR(VLOOKUP(_2__Ferramental_AST[[#This Row],[ID]],CHECK_ACUM!A:A,1,0),"NOVO")</f>
        <v>7595</v>
      </c>
    </row>
    <row r="3" spans="1:4" hidden="1" x14ac:dyDescent="0.35">
      <c r="A3" s="1">
        <v>7594</v>
      </c>
      <c r="B3" s="3">
        <v>46311.753472222219</v>
      </c>
      <c r="C3" s="1" t="s">
        <v>5</v>
      </c>
      <c r="D3" s="1">
        <f>IFERROR(VLOOKUP(_2__Ferramental_AST[[#This Row],[ID]],CHECK_ACUM!A:A,1,0),"NOVO")</f>
        <v>7594</v>
      </c>
    </row>
    <row r="4" spans="1:4" hidden="1" x14ac:dyDescent="0.35">
      <c r="A4" s="1">
        <v>7593</v>
      </c>
      <c r="B4" s="3">
        <v>46311.75277777778</v>
      </c>
      <c r="C4" s="1" t="s">
        <v>5</v>
      </c>
      <c r="D4" s="1">
        <f>IFERROR(VLOOKUP(_2__Ferramental_AST[[#This Row],[ID]],CHECK_ACUM!A:A,1,0),"NOVO")</f>
        <v>7593</v>
      </c>
    </row>
    <row r="5" spans="1:4" hidden="1" x14ac:dyDescent="0.35">
      <c r="A5" s="1">
        <v>7592</v>
      </c>
      <c r="B5" s="3">
        <v>46311.751388888886</v>
      </c>
      <c r="C5" s="1" t="s">
        <v>5</v>
      </c>
      <c r="D5" s="1">
        <f>IFERROR(VLOOKUP(_2__Ferramental_AST[[#This Row],[ID]],CHECK_ACUM!A:A,1,0),"NOVO")</f>
        <v>7592</v>
      </c>
    </row>
    <row r="6" spans="1:4" hidden="1" x14ac:dyDescent="0.35">
      <c r="A6" s="1">
        <v>7591</v>
      </c>
      <c r="B6" s="3">
        <v>46311.75</v>
      </c>
      <c r="C6" s="1" t="s">
        <v>5</v>
      </c>
      <c r="D6" s="1">
        <f>IFERROR(VLOOKUP(_2__Ferramental_AST[[#This Row],[ID]],CHECK_ACUM!A:A,1,0),"NOVO")</f>
        <v>7591</v>
      </c>
    </row>
    <row r="7" spans="1:4" hidden="1" x14ac:dyDescent="0.35">
      <c r="A7" s="1">
        <v>7589</v>
      </c>
      <c r="B7" s="3">
        <v>46311.640277777777</v>
      </c>
      <c r="C7" s="1" t="s">
        <v>22</v>
      </c>
      <c r="D7" s="1">
        <f>IFERROR(VLOOKUP(_2__Ferramental_AST[[#This Row],[ID]],CHECK_ACUM!A:A,1,0),"NOVO")</f>
        <v>7589</v>
      </c>
    </row>
    <row r="8" spans="1:4" hidden="1" x14ac:dyDescent="0.35">
      <c r="A8" s="1">
        <v>7588</v>
      </c>
      <c r="B8" s="3">
        <v>46311.509027777778</v>
      </c>
      <c r="C8" s="1" t="s">
        <v>21</v>
      </c>
      <c r="D8" s="1">
        <f>IFERROR(VLOOKUP(_2__Ferramental_AST[[#This Row],[ID]],CHECK_ACUM!A:A,1,0),"NOVO")</f>
        <v>7588</v>
      </c>
    </row>
    <row r="9" spans="1:4" hidden="1" x14ac:dyDescent="0.35">
      <c r="A9" s="1">
        <v>7587</v>
      </c>
      <c r="B9" s="3">
        <v>46311.493055555555</v>
      </c>
      <c r="C9" s="1" t="s">
        <v>21</v>
      </c>
      <c r="D9" s="1">
        <f>IFERROR(VLOOKUP(_2__Ferramental_AST[[#This Row],[ID]],CHECK_ACUM!A:A,1,0),"NOVO")</f>
        <v>7587</v>
      </c>
    </row>
    <row r="10" spans="1:4" hidden="1" x14ac:dyDescent="0.35">
      <c r="A10" s="1">
        <v>7586</v>
      </c>
      <c r="B10" s="3">
        <v>46311.472916666666</v>
      </c>
      <c r="C10" s="1" t="s">
        <v>9</v>
      </c>
      <c r="D10" s="1">
        <f>IFERROR(VLOOKUP(_2__Ferramental_AST[[#This Row],[ID]],CHECK_ACUM!A:A,1,0),"NOVO")</f>
        <v>7586</v>
      </c>
    </row>
    <row r="11" spans="1:4" hidden="1" x14ac:dyDescent="0.35">
      <c r="A11" s="1">
        <v>7584</v>
      </c>
      <c r="B11" s="3">
        <v>46311.413194444445</v>
      </c>
      <c r="C11" s="1" t="s">
        <v>9</v>
      </c>
      <c r="D11" s="1">
        <f>IFERROR(VLOOKUP(_2__Ferramental_AST[[#This Row],[ID]],CHECK_ACUM!A:A,1,0),"NOVO")</f>
        <v>7584</v>
      </c>
    </row>
    <row r="12" spans="1:4" hidden="1" x14ac:dyDescent="0.35">
      <c r="A12" s="1">
        <v>7582</v>
      </c>
      <c r="B12" s="3">
        <v>46311.366666666669</v>
      </c>
      <c r="C12" s="1" t="s">
        <v>19</v>
      </c>
      <c r="D12" s="1">
        <f>IFERROR(VLOOKUP(_2__Ferramental_AST[[#This Row],[ID]],CHECK_ACUM!A:A,1,0),"NOVO")</f>
        <v>7582</v>
      </c>
    </row>
    <row r="13" spans="1:4" hidden="1" x14ac:dyDescent="0.35">
      <c r="A13" s="1">
        <v>7581</v>
      </c>
      <c r="B13" s="3">
        <v>46310.748611111114</v>
      </c>
      <c r="C13" s="1" t="s">
        <v>5</v>
      </c>
      <c r="D13" s="1">
        <f>IFERROR(VLOOKUP(_2__Ferramental_AST[[#This Row],[ID]],CHECK_ACUM!A:A,1,0),"NOVO")</f>
        <v>7581</v>
      </c>
    </row>
    <row r="14" spans="1:4" hidden="1" x14ac:dyDescent="0.35">
      <c r="A14" s="1">
        <v>7580</v>
      </c>
      <c r="B14" s="3">
        <v>46310.746527777781</v>
      </c>
      <c r="C14" s="1" t="s">
        <v>5</v>
      </c>
      <c r="D14" s="1">
        <f>IFERROR(VLOOKUP(_2__Ferramental_AST[[#This Row],[ID]],CHECK_ACUM!A:A,1,0),"NOVO")</f>
        <v>7580</v>
      </c>
    </row>
    <row r="15" spans="1:4" hidden="1" x14ac:dyDescent="0.35">
      <c r="A15" s="1">
        <v>7578</v>
      </c>
      <c r="B15" s="3">
        <v>46310.652083333334</v>
      </c>
      <c r="C15" s="1" t="s">
        <v>5</v>
      </c>
      <c r="D15" s="1">
        <f>IFERROR(VLOOKUP(_2__Ferramental_AST[[#This Row],[ID]],CHECK_ACUM!A:A,1,0),"NOVO")</f>
        <v>7578</v>
      </c>
    </row>
    <row r="16" spans="1:4" hidden="1" x14ac:dyDescent="0.35">
      <c r="A16" s="1">
        <v>7577</v>
      </c>
      <c r="B16" s="3">
        <v>46310.650694444441</v>
      </c>
      <c r="C16" s="1" t="s">
        <v>5</v>
      </c>
      <c r="D16" s="1">
        <f>IFERROR(VLOOKUP(_2__Ferramental_AST[[#This Row],[ID]],CHECK_ACUM!A:A,1,0),"NOVO")</f>
        <v>7577</v>
      </c>
    </row>
    <row r="17" spans="1:4" hidden="1" x14ac:dyDescent="0.35">
      <c r="A17" s="1">
        <v>7576</v>
      </c>
      <c r="B17" s="3">
        <v>46310.602083333331</v>
      </c>
      <c r="C17" s="1" t="s">
        <v>9</v>
      </c>
      <c r="D17" s="1">
        <f>IFERROR(VLOOKUP(_2__Ferramental_AST[[#This Row],[ID]],CHECK_ACUM!A:A,1,0),"NOVO")</f>
        <v>7576</v>
      </c>
    </row>
    <row r="18" spans="1:4" hidden="1" x14ac:dyDescent="0.35">
      <c r="A18" s="1">
        <v>7575</v>
      </c>
      <c r="B18" s="3">
        <v>46310.601388888892</v>
      </c>
      <c r="C18" s="1" t="s">
        <v>9</v>
      </c>
      <c r="D18" s="1">
        <f>IFERROR(VLOOKUP(_2__Ferramental_AST[[#This Row],[ID]],CHECK_ACUM!A:A,1,0),"NOVO")</f>
        <v>7575</v>
      </c>
    </row>
    <row r="19" spans="1:4" hidden="1" x14ac:dyDescent="0.35">
      <c r="A19" s="1">
        <v>7574</v>
      </c>
      <c r="B19" s="3">
        <v>46310.59097222222</v>
      </c>
      <c r="C19" s="1" t="s">
        <v>19</v>
      </c>
      <c r="D19" s="1">
        <f>IFERROR(VLOOKUP(_2__Ferramental_AST[[#This Row],[ID]],CHECK_ACUM!A:A,1,0),"NOVO")</f>
        <v>7574</v>
      </c>
    </row>
    <row r="20" spans="1:4" hidden="1" x14ac:dyDescent="0.35">
      <c r="A20" s="1">
        <v>7572</v>
      </c>
      <c r="B20" s="3">
        <v>46309.731249999997</v>
      </c>
      <c r="C20" s="1" t="s">
        <v>5</v>
      </c>
      <c r="D20" s="1">
        <f>IFERROR(VLOOKUP(_2__Ferramental_AST[[#This Row],[ID]],CHECK_ACUM!A:A,1,0),"NOVO")</f>
        <v>7572</v>
      </c>
    </row>
    <row r="21" spans="1:4" hidden="1" x14ac:dyDescent="0.35">
      <c r="A21" s="1">
        <v>7571</v>
      </c>
      <c r="B21" s="3">
        <v>46309.676388888889</v>
      </c>
      <c r="C21" s="1" t="s">
        <v>5</v>
      </c>
      <c r="D21" s="1">
        <f>IFERROR(VLOOKUP(_2__Ferramental_AST[[#This Row],[ID]],CHECK_ACUM!A:A,1,0),"NOVO")</f>
        <v>7571</v>
      </c>
    </row>
    <row r="22" spans="1:4" hidden="1" x14ac:dyDescent="0.35">
      <c r="A22" s="1">
        <v>7570</v>
      </c>
      <c r="B22" s="3">
        <v>46309.675694444442</v>
      </c>
      <c r="C22" s="1" t="s">
        <v>5</v>
      </c>
      <c r="D22" s="1">
        <f>IFERROR(VLOOKUP(_2__Ferramental_AST[[#This Row],[ID]],CHECK_ACUM!A:A,1,0),"NOVO")</f>
        <v>7570</v>
      </c>
    </row>
    <row r="23" spans="1:4" hidden="1" x14ac:dyDescent="0.35">
      <c r="A23" s="1">
        <v>7569</v>
      </c>
      <c r="B23" s="3">
        <v>46309.675000000003</v>
      </c>
      <c r="C23" s="1" t="s">
        <v>5</v>
      </c>
      <c r="D23" s="1">
        <f>IFERROR(VLOOKUP(_2__Ferramental_AST[[#This Row],[ID]],CHECK_ACUM!A:A,1,0),"NOVO")</f>
        <v>7569</v>
      </c>
    </row>
    <row r="24" spans="1:4" hidden="1" x14ac:dyDescent="0.35">
      <c r="A24" s="1">
        <v>7568</v>
      </c>
      <c r="B24" s="3">
        <v>46309.558333333334</v>
      </c>
      <c r="C24" s="1" t="s">
        <v>19</v>
      </c>
      <c r="D24" s="1">
        <f>IFERROR(VLOOKUP(_2__Ferramental_AST[[#This Row],[ID]],CHECK_ACUM!A:A,1,0),"NOVO")</f>
        <v>7568</v>
      </c>
    </row>
    <row r="25" spans="1:4" hidden="1" x14ac:dyDescent="0.35">
      <c r="A25" s="1">
        <v>7567</v>
      </c>
      <c r="B25" s="3">
        <v>46309.493055555555</v>
      </c>
      <c r="C25" s="1" t="s">
        <v>21</v>
      </c>
      <c r="D25" s="1">
        <f>IFERROR(VLOOKUP(_2__Ferramental_AST[[#This Row],[ID]],CHECK_ACUM!A:A,1,0),"NOVO")</f>
        <v>7567</v>
      </c>
    </row>
    <row r="26" spans="1:4" hidden="1" x14ac:dyDescent="0.35">
      <c r="A26" s="1">
        <v>7566</v>
      </c>
      <c r="B26" s="3">
        <v>46309.493055555555</v>
      </c>
      <c r="C26" s="1" t="s">
        <v>21</v>
      </c>
      <c r="D26" s="1">
        <f>IFERROR(VLOOKUP(_2__Ferramental_AST[[#This Row],[ID]],CHECK_ACUM!A:A,1,0),"NOVO")</f>
        <v>7566</v>
      </c>
    </row>
    <row r="27" spans="1:4" hidden="1" x14ac:dyDescent="0.35">
      <c r="A27" s="1">
        <v>7565</v>
      </c>
      <c r="B27" s="3">
        <v>46309.467361111114</v>
      </c>
      <c r="C27" s="1" t="s">
        <v>3</v>
      </c>
      <c r="D27" s="1">
        <f>IFERROR(VLOOKUP(_2__Ferramental_AST[[#This Row],[ID]],CHECK_ACUM!A:A,1,0),"NOVO")</f>
        <v>7565</v>
      </c>
    </row>
    <row r="28" spans="1:4" hidden="1" x14ac:dyDescent="0.35">
      <c r="A28" s="1">
        <v>7562</v>
      </c>
      <c r="B28" s="3">
        <v>46308.74722222222</v>
      </c>
      <c r="C28" s="1" t="s">
        <v>24</v>
      </c>
      <c r="D28" s="1">
        <f>IFERROR(VLOOKUP(_2__Ferramental_AST[[#This Row],[ID]],CHECK_ACUM!A:A,1,0),"NOVO")</f>
        <v>7562</v>
      </c>
    </row>
    <row r="29" spans="1:4" hidden="1" x14ac:dyDescent="0.35">
      <c r="A29" s="1">
        <v>7561</v>
      </c>
      <c r="B29" s="3">
        <v>46308.722916666666</v>
      </c>
      <c r="C29" s="1" t="s">
        <v>5</v>
      </c>
      <c r="D29" s="1">
        <f>IFERROR(VLOOKUP(_2__Ferramental_AST[[#This Row],[ID]],CHECK_ACUM!A:A,1,0),"NOVO")</f>
        <v>7561</v>
      </c>
    </row>
    <row r="30" spans="1:4" hidden="1" x14ac:dyDescent="0.35">
      <c r="A30" s="1">
        <v>7560</v>
      </c>
      <c r="B30" s="3">
        <v>46308.722222222219</v>
      </c>
      <c r="C30" s="1" t="s">
        <v>5</v>
      </c>
      <c r="D30" s="1">
        <f>IFERROR(VLOOKUP(_2__Ferramental_AST[[#This Row],[ID]],CHECK_ACUM!A:A,1,0),"NOVO")</f>
        <v>7560</v>
      </c>
    </row>
    <row r="31" spans="1:4" hidden="1" x14ac:dyDescent="0.35">
      <c r="A31" s="1">
        <v>7559</v>
      </c>
      <c r="B31" s="3">
        <v>46308.72152777778</v>
      </c>
      <c r="C31" s="1" t="s">
        <v>5</v>
      </c>
      <c r="D31" s="1">
        <f>IFERROR(VLOOKUP(_2__Ferramental_AST[[#This Row],[ID]],CHECK_ACUM!A:A,1,0),"NOVO")</f>
        <v>7559</v>
      </c>
    </row>
    <row r="32" spans="1:4" hidden="1" x14ac:dyDescent="0.35">
      <c r="A32" s="1">
        <v>7558</v>
      </c>
      <c r="B32" s="3">
        <v>46308.720833333333</v>
      </c>
      <c r="C32" s="1" t="s">
        <v>5</v>
      </c>
      <c r="D32" s="1">
        <f>IFERROR(VLOOKUP(_2__Ferramental_AST[[#This Row],[ID]],CHECK_ACUM!A:A,1,0),"NOVO")</f>
        <v>7558</v>
      </c>
    </row>
    <row r="33" spans="1:4" hidden="1" x14ac:dyDescent="0.35">
      <c r="A33" s="1">
        <v>7557</v>
      </c>
      <c r="B33" s="3">
        <v>46308.691666666666</v>
      </c>
      <c r="C33" s="1" t="s">
        <v>28</v>
      </c>
      <c r="D33" s="1">
        <f>IFERROR(VLOOKUP(_2__Ferramental_AST[[#This Row],[ID]],CHECK_ACUM!A:A,1,0),"NOVO")</f>
        <v>7557</v>
      </c>
    </row>
    <row r="34" spans="1:4" hidden="1" x14ac:dyDescent="0.35">
      <c r="A34" s="1">
        <v>7556</v>
      </c>
      <c r="B34" s="3">
        <v>46308.48333333333</v>
      </c>
      <c r="C34" s="1" t="s">
        <v>3</v>
      </c>
      <c r="D34" s="1">
        <f>IFERROR(VLOOKUP(_2__Ferramental_AST[[#This Row],[ID]],CHECK_ACUM!A:A,1,0),"NOVO")</f>
        <v>7556</v>
      </c>
    </row>
    <row r="35" spans="1:4" hidden="1" x14ac:dyDescent="0.35">
      <c r="A35" s="1">
        <v>7555</v>
      </c>
      <c r="B35" s="3">
        <v>46308.431944444441</v>
      </c>
      <c r="C35" s="1" t="s">
        <v>3</v>
      </c>
      <c r="D35" s="1">
        <f>IFERROR(VLOOKUP(_2__Ferramental_AST[[#This Row],[ID]],CHECK_ACUM!A:A,1,0),"NOVO")</f>
        <v>7555</v>
      </c>
    </row>
    <row r="36" spans="1:4" hidden="1" x14ac:dyDescent="0.35">
      <c r="A36" s="1">
        <v>7551</v>
      </c>
      <c r="B36" s="3">
        <v>46304.76666666667</v>
      </c>
      <c r="C36" s="1" t="s">
        <v>5</v>
      </c>
      <c r="D36" s="1">
        <f>IFERROR(VLOOKUP(_2__Ferramental_AST[[#This Row],[ID]],CHECK_ACUM!A:A,1,0),"NOVO")</f>
        <v>7551</v>
      </c>
    </row>
    <row r="37" spans="1:4" hidden="1" x14ac:dyDescent="0.35">
      <c r="A37" s="1">
        <v>7550</v>
      </c>
      <c r="B37" s="3">
        <v>46304.765972222223</v>
      </c>
      <c r="C37" s="1" t="s">
        <v>5</v>
      </c>
      <c r="D37" s="1">
        <f>IFERROR(VLOOKUP(_2__Ferramental_AST[[#This Row],[ID]],CHECK_ACUM!A:A,1,0),"NOVO")</f>
        <v>7550</v>
      </c>
    </row>
    <row r="38" spans="1:4" hidden="1" x14ac:dyDescent="0.35">
      <c r="A38" s="1">
        <v>7549</v>
      </c>
      <c r="B38" s="3">
        <v>46304.763888888891</v>
      </c>
      <c r="C38" s="1" t="s">
        <v>5</v>
      </c>
      <c r="D38" s="1">
        <f>IFERROR(VLOOKUP(_2__Ferramental_AST[[#This Row],[ID]],CHECK_ACUM!A:A,1,0),"NOVO")</f>
        <v>7549</v>
      </c>
    </row>
    <row r="39" spans="1:4" hidden="1" x14ac:dyDescent="0.35">
      <c r="A39" s="1">
        <v>7548</v>
      </c>
      <c r="B39" s="3">
        <v>46304.763194444444</v>
      </c>
      <c r="C39" s="1" t="s">
        <v>5</v>
      </c>
      <c r="D39" s="1">
        <f>IFERROR(VLOOKUP(_2__Ferramental_AST[[#This Row],[ID]],CHECK_ACUM!A:A,1,0),"NOVO")</f>
        <v>7548</v>
      </c>
    </row>
    <row r="40" spans="1:4" hidden="1" x14ac:dyDescent="0.35">
      <c r="A40" s="1">
        <v>7547</v>
      </c>
      <c r="B40" s="3">
        <v>46304.761111111111</v>
      </c>
      <c r="C40" s="1" t="s">
        <v>5</v>
      </c>
      <c r="D40" s="1">
        <f>IFERROR(VLOOKUP(_2__Ferramental_AST[[#This Row],[ID]],CHECK_ACUM!A:A,1,0),"NOVO")</f>
        <v>7547</v>
      </c>
    </row>
    <row r="41" spans="1:4" hidden="1" x14ac:dyDescent="0.35">
      <c r="A41" s="1">
        <v>7546</v>
      </c>
      <c r="B41" s="3">
        <v>46304.663888888892</v>
      </c>
      <c r="C41" s="1" t="s">
        <v>28</v>
      </c>
      <c r="D41" s="1">
        <f>IFERROR(VLOOKUP(_2__Ferramental_AST[[#This Row],[ID]],CHECK_ACUM!A:A,1,0),"NOVO")</f>
        <v>7546</v>
      </c>
    </row>
    <row r="42" spans="1:4" hidden="1" x14ac:dyDescent="0.35">
      <c r="A42" s="1">
        <v>7542</v>
      </c>
      <c r="B42" s="3">
        <v>46304.580555555556</v>
      </c>
      <c r="C42" s="1" t="s">
        <v>24</v>
      </c>
      <c r="D42" s="1">
        <f>IFERROR(VLOOKUP(_2__Ferramental_AST[[#This Row],[ID]],CHECK_ACUM!A:A,1,0),"NOVO")</f>
        <v>7542</v>
      </c>
    </row>
    <row r="43" spans="1:4" hidden="1" x14ac:dyDescent="0.35">
      <c r="A43" s="1">
        <v>7541</v>
      </c>
      <c r="B43" s="3">
        <v>46304.464583333334</v>
      </c>
      <c r="C43" s="1" t="s">
        <v>21</v>
      </c>
      <c r="D43" s="1">
        <f>IFERROR(VLOOKUP(_2__Ferramental_AST[[#This Row],[ID]],CHECK_ACUM!A:A,1,0),"NOVO")</f>
        <v>7541</v>
      </c>
    </row>
    <row r="44" spans="1:4" hidden="1" x14ac:dyDescent="0.35">
      <c r="A44" s="1">
        <v>7540</v>
      </c>
      <c r="B44" s="3">
        <v>46304.463194444441</v>
      </c>
      <c r="C44" s="1" t="s">
        <v>21</v>
      </c>
      <c r="D44" s="1">
        <f>IFERROR(VLOOKUP(_2__Ferramental_AST[[#This Row],[ID]],CHECK_ACUM!A:A,1,0),"NOVO")</f>
        <v>7540</v>
      </c>
    </row>
    <row r="45" spans="1:4" hidden="1" x14ac:dyDescent="0.35">
      <c r="A45" s="1">
        <v>7539</v>
      </c>
      <c r="B45" s="3">
        <v>46304.461805555555</v>
      </c>
      <c r="C45" s="1" t="s">
        <v>3</v>
      </c>
      <c r="D45" s="1">
        <f>IFERROR(VLOOKUP(_2__Ferramental_AST[[#This Row],[ID]],CHECK_ACUM!A:A,1,0),"NOVO")</f>
        <v>7539</v>
      </c>
    </row>
    <row r="46" spans="1:4" hidden="1" x14ac:dyDescent="0.35">
      <c r="A46" s="1">
        <v>7538</v>
      </c>
      <c r="B46" s="3">
        <v>46304.415972222225</v>
      </c>
      <c r="C46" s="1" t="s">
        <v>21</v>
      </c>
      <c r="D46" s="1">
        <f>IFERROR(VLOOKUP(_2__Ferramental_AST[[#This Row],[ID]],CHECK_ACUM!A:A,1,0),"NOVO")</f>
        <v>7538</v>
      </c>
    </row>
    <row r="47" spans="1:4" hidden="1" x14ac:dyDescent="0.35">
      <c r="A47" s="1">
        <v>7537</v>
      </c>
      <c r="B47" s="3">
        <v>46304.40902777778</v>
      </c>
      <c r="C47" s="1" t="s">
        <v>19</v>
      </c>
      <c r="D47" s="1">
        <f>IFERROR(VLOOKUP(_2__Ferramental_AST[[#This Row],[ID]],CHECK_ACUM!A:A,1,0),"NOVO")</f>
        <v>7537</v>
      </c>
    </row>
    <row r="48" spans="1:4" hidden="1" x14ac:dyDescent="0.35">
      <c r="A48" s="1">
        <v>7536</v>
      </c>
      <c r="B48" s="3">
        <v>46304.354166666664</v>
      </c>
      <c r="C48" s="1" t="s">
        <v>19</v>
      </c>
      <c r="D48" s="1">
        <f>IFERROR(VLOOKUP(_2__Ferramental_AST[[#This Row],[ID]],CHECK_ACUM!A:A,1,0),"NOVO")</f>
        <v>7536</v>
      </c>
    </row>
    <row r="49" spans="1:4" hidden="1" x14ac:dyDescent="0.35">
      <c r="A49" s="1">
        <v>7534</v>
      </c>
      <c r="B49" s="3">
        <v>46303.762499999997</v>
      </c>
      <c r="C49" s="1" t="s">
        <v>5</v>
      </c>
      <c r="D49" s="1">
        <f>IFERROR(VLOOKUP(_2__Ferramental_AST[[#This Row],[ID]],CHECK_ACUM!A:A,1,0),"NOVO")</f>
        <v>7534</v>
      </c>
    </row>
    <row r="50" spans="1:4" hidden="1" x14ac:dyDescent="0.35">
      <c r="A50" s="1">
        <v>7533</v>
      </c>
      <c r="B50" s="3">
        <v>46303.717361111114</v>
      </c>
      <c r="C50" s="1" t="s">
        <v>5</v>
      </c>
      <c r="D50" s="1">
        <f>IFERROR(VLOOKUP(_2__Ferramental_AST[[#This Row],[ID]],CHECK_ACUM!A:A,1,0),"NOVO")</f>
        <v>7533</v>
      </c>
    </row>
    <row r="51" spans="1:4" hidden="1" x14ac:dyDescent="0.35">
      <c r="A51" s="1">
        <v>7532</v>
      </c>
      <c r="B51" s="3">
        <v>46303.680555555555</v>
      </c>
      <c r="C51" s="1" t="s">
        <v>22</v>
      </c>
      <c r="D51" s="1">
        <f>IFERROR(VLOOKUP(_2__Ferramental_AST[[#This Row],[ID]],CHECK_ACUM!A:A,1,0),"NOVO")</f>
        <v>7532</v>
      </c>
    </row>
    <row r="52" spans="1:4" hidden="1" x14ac:dyDescent="0.35">
      <c r="A52" s="1">
        <v>7531</v>
      </c>
      <c r="B52" s="3">
        <v>46303.669444444444</v>
      </c>
      <c r="C52" s="1" t="s">
        <v>5</v>
      </c>
      <c r="D52" s="1">
        <f>IFERROR(VLOOKUP(_2__Ferramental_AST[[#This Row],[ID]],CHECK_ACUM!A:A,1,0),"NOVO")</f>
        <v>7531</v>
      </c>
    </row>
    <row r="53" spans="1:4" hidden="1" x14ac:dyDescent="0.35">
      <c r="A53" s="1">
        <v>7530</v>
      </c>
      <c r="B53" s="3">
        <v>46303.668749999997</v>
      </c>
      <c r="C53" s="1" t="s">
        <v>5</v>
      </c>
      <c r="D53" s="1">
        <f>IFERROR(VLOOKUP(_2__Ferramental_AST[[#This Row],[ID]],CHECK_ACUM!A:A,1,0),"NOVO")</f>
        <v>7530</v>
      </c>
    </row>
    <row r="54" spans="1:4" hidden="1" x14ac:dyDescent="0.35">
      <c r="A54" s="1">
        <v>7529</v>
      </c>
      <c r="B54" s="3">
        <v>46303.668055555558</v>
      </c>
      <c r="C54" s="1" t="s">
        <v>5</v>
      </c>
      <c r="D54" s="1">
        <f>IFERROR(VLOOKUP(_2__Ferramental_AST[[#This Row],[ID]],CHECK_ACUM!A:A,1,0),"NOVO")</f>
        <v>7529</v>
      </c>
    </row>
    <row r="55" spans="1:4" hidden="1" x14ac:dyDescent="0.35">
      <c r="A55" s="1">
        <v>7528</v>
      </c>
      <c r="B55" s="3">
        <v>46303.652083333334</v>
      </c>
      <c r="C55" s="1" t="s">
        <v>19</v>
      </c>
      <c r="D55" s="1">
        <f>IFERROR(VLOOKUP(_2__Ferramental_AST[[#This Row],[ID]],CHECK_ACUM!A:A,1,0),"NOVO")</f>
        <v>7528</v>
      </c>
    </row>
    <row r="56" spans="1:4" hidden="1" x14ac:dyDescent="0.35">
      <c r="A56" s="1">
        <v>7527</v>
      </c>
      <c r="B56" s="3">
        <v>46303.651388888888</v>
      </c>
      <c r="C56" s="1" t="s">
        <v>19</v>
      </c>
      <c r="D56" s="1">
        <f>IFERROR(VLOOKUP(_2__Ferramental_AST[[#This Row],[ID]],CHECK_ACUM!A:A,1,0),"NOVO")</f>
        <v>7527</v>
      </c>
    </row>
    <row r="57" spans="1:4" hidden="1" x14ac:dyDescent="0.35">
      <c r="A57" s="1">
        <v>7526</v>
      </c>
      <c r="B57" s="3">
        <v>46303.611111111109</v>
      </c>
      <c r="C57" s="1" t="s">
        <v>9</v>
      </c>
      <c r="D57" s="1">
        <f>IFERROR(VLOOKUP(_2__Ferramental_AST[[#This Row],[ID]],CHECK_ACUM!A:A,1,0),"NOVO")</f>
        <v>7526</v>
      </c>
    </row>
    <row r="58" spans="1:4" hidden="1" x14ac:dyDescent="0.35">
      <c r="A58" s="1">
        <v>7525</v>
      </c>
      <c r="B58" s="3">
        <v>46303.588194444441</v>
      </c>
      <c r="C58" s="1" t="s">
        <v>21</v>
      </c>
      <c r="D58" s="1">
        <f>IFERROR(VLOOKUP(_2__Ferramental_AST[[#This Row],[ID]],CHECK_ACUM!A:A,1,0),"NOVO")</f>
        <v>7525</v>
      </c>
    </row>
    <row r="59" spans="1:4" hidden="1" x14ac:dyDescent="0.35">
      <c r="A59" s="1">
        <v>7524</v>
      </c>
      <c r="B59" s="3">
        <v>46303.42083333333</v>
      </c>
      <c r="C59" s="1" t="s">
        <v>21</v>
      </c>
      <c r="D59" s="1">
        <f>IFERROR(VLOOKUP(_2__Ferramental_AST[[#This Row],[ID]],CHECK_ACUM!A:A,1,0),"NOVO")</f>
        <v>7524</v>
      </c>
    </row>
    <row r="60" spans="1:4" hidden="1" x14ac:dyDescent="0.35">
      <c r="A60" s="1">
        <v>7523</v>
      </c>
      <c r="B60" s="3">
        <v>46302.624305555553</v>
      </c>
      <c r="C60" s="1" t="s">
        <v>3</v>
      </c>
      <c r="D60" s="1">
        <f>IFERROR(VLOOKUP(_2__Ferramental_AST[[#This Row],[ID]],CHECK_ACUM!A:A,1,0),"NOVO")</f>
        <v>7523</v>
      </c>
    </row>
    <row r="61" spans="1:4" hidden="1" x14ac:dyDescent="0.35">
      <c r="A61" s="1">
        <v>7522</v>
      </c>
      <c r="B61" s="3">
        <v>46302.615277777775</v>
      </c>
      <c r="C61" s="1" t="s">
        <v>19</v>
      </c>
      <c r="D61" s="1">
        <f>IFERROR(VLOOKUP(_2__Ferramental_AST[[#This Row],[ID]],CHECK_ACUM!A:A,1,0),"NOVO")</f>
        <v>7522</v>
      </c>
    </row>
    <row r="62" spans="1:4" hidden="1" x14ac:dyDescent="0.35">
      <c r="A62" s="1">
        <v>7521</v>
      </c>
      <c r="B62" s="3">
        <v>46301.74722222222</v>
      </c>
      <c r="C62" s="1" t="s">
        <v>24</v>
      </c>
      <c r="D62" s="1">
        <f>IFERROR(VLOOKUP(_2__Ferramental_AST[[#This Row],[ID]],CHECK_ACUM!A:A,1,0),"NOVO")</f>
        <v>7521</v>
      </c>
    </row>
    <row r="63" spans="1:4" hidden="1" x14ac:dyDescent="0.35">
      <c r="A63" s="1">
        <v>7520</v>
      </c>
      <c r="B63" s="3">
        <v>46301.746527777781</v>
      </c>
      <c r="C63" s="1" t="s">
        <v>5</v>
      </c>
      <c r="D63" s="1">
        <f>IFERROR(VLOOKUP(_2__Ferramental_AST[[#This Row],[ID]],CHECK_ACUM!A:A,1,0),"NOVO")</f>
        <v>7520</v>
      </c>
    </row>
    <row r="64" spans="1:4" hidden="1" x14ac:dyDescent="0.35">
      <c r="A64" s="1">
        <v>7519</v>
      </c>
      <c r="B64" s="3">
        <v>46301.745833333334</v>
      </c>
      <c r="C64" s="1" t="s">
        <v>5</v>
      </c>
      <c r="D64" s="1">
        <f>IFERROR(VLOOKUP(_2__Ferramental_AST[[#This Row],[ID]],CHECK_ACUM!A:A,1,0),"NOVO")</f>
        <v>7519</v>
      </c>
    </row>
    <row r="65" spans="1:4" hidden="1" x14ac:dyDescent="0.35">
      <c r="A65" s="1">
        <v>7518</v>
      </c>
      <c r="B65" s="3">
        <v>46301.745138888888</v>
      </c>
      <c r="C65" s="1" t="s">
        <v>5</v>
      </c>
      <c r="D65" s="1">
        <f>IFERROR(VLOOKUP(_2__Ferramental_AST[[#This Row],[ID]],CHECK_ACUM!A:A,1,0),"NOVO")</f>
        <v>7518</v>
      </c>
    </row>
    <row r="66" spans="1:4" hidden="1" x14ac:dyDescent="0.35">
      <c r="A66" s="1">
        <v>7517</v>
      </c>
      <c r="B66" s="3">
        <v>46301.743750000001</v>
      </c>
      <c r="C66" s="1" t="s">
        <v>5</v>
      </c>
      <c r="D66" s="1">
        <f>IFERROR(VLOOKUP(_2__Ferramental_AST[[#This Row],[ID]],CHECK_ACUM!A:A,1,0),"NOVO")</f>
        <v>7517</v>
      </c>
    </row>
    <row r="67" spans="1:4" hidden="1" x14ac:dyDescent="0.35">
      <c r="A67" s="1">
        <v>7515</v>
      </c>
      <c r="B67" s="3">
        <v>46301.724305555559</v>
      </c>
      <c r="C67" s="1" t="s">
        <v>22</v>
      </c>
      <c r="D67" s="1">
        <f>IFERROR(VLOOKUP(_2__Ferramental_AST[[#This Row],[ID]],CHECK_ACUM!A:A,1,0),"NOVO")</f>
        <v>7515</v>
      </c>
    </row>
    <row r="68" spans="1:4" hidden="1" x14ac:dyDescent="0.35">
      <c r="A68" s="1">
        <v>7514</v>
      </c>
      <c r="B68" s="3">
        <v>46301.63958333333</v>
      </c>
      <c r="C68" s="1" t="s">
        <v>21</v>
      </c>
      <c r="D68" s="1">
        <f>IFERROR(VLOOKUP(_2__Ferramental_AST[[#This Row],[ID]],CHECK_ACUM!A:A,1,0),"NOVO")</f>
        <v>7514</v>
      </c>
    </row>
    <row r="69" spans="1:4" hidden="1" x14ac:dyDescent="0.35">
      <c r="A69" s="1">
        <v>7513</v>
      </c>
      <c r="B69" s="3">
        <v>46301.513194444444</v>
      </c>
      <c r="C69" s="1" t="s">
        <v>21</v>
      </c>
      <c r="D69" s="1">
        <f>IFERROR(VLOOKUP(_2__Ferramental_AST[[#This Row],[ID]],CHECK_ACUM!A:A,1,0),"NOVO")</f>
        <v>7513</v>
      </c>
    </row>
    <row r="70" spans="1:4" hidden="1" x14ac:dyDescent="0.35">
      <c r="A70" s="1">
        <v>7510</v>
      </c>
      <c r="B70" s="3">
        <v>46301.500694444447</v>
      </c>
      <c r="C70" s="1" t="s">
        <v>24</v>
      </c>
      <c r="D70" s="1">
        <f>IFERROR(VLOOKUP(_2__Ferramental_AST[[#This Row],[ID]],CHECK_ACUM!A:A,1,0),"NOVO")</f>
        <v>7510</v>
      </c>
    </row>
    <row r="71" spans="1:4" hidden="1" x14ac:dyDescent="0.35">
      <c r="A71" s="1">
        <v>7509</v>
      </c>
      <c r="B71" s="3">
        <v>46301.48541666667</v>
      </c>
      <c r="C71" s="1" t="s">
        <v>24</v>
      </c>
      <c r="D71" s="1">
        <f>IFERROR(VLOOKUP(_2__Ferramental_AST[[#This Row],[ID]],CHECK_ACUM!A:A,1,0),"NOVO")</f>
        <v>7509</v>
      </c>
    </row>
    <row r="72" spans="1:4" hidden="1" x14ac:dyDescent="0.35">
      <c r="A72" s="1">
        <v>7508</v>
      </c>
      <c r="B72" s="3">
        <v>46301.470138888886</v>
      </c>
      <c r="C72" s="1" t="s">
        <v>19</v>
      </c>
      <c r="D72" s="1">
        <f>IFERROR(VLOOKUP(_2__Ferramental_AST[[#This Row],[ID]],CHECK_ACUM!A:A,1,0),"NOVO")</f>
        <v>7508</v>
      </c>
    </row>
    <row r="73" spans="1:4" hidden="1" x14ac:dyDescent="0.35">
      <c r="A73" s="1">
        <v>7507</v>
      </c>
      <c r="B73" s="3">
        <v>46301.433333333334</v>
      </c>
      <c r="C73" s="1" t="s">
        <v>3</v>
      </c>
      <c r="D73" s="1">
        <f>IFERROR(VLOOKUP(_2__Ferramental_AST[[#This Row],[ID]],CHECK_ACUM!A:A,1,0),"NOVO")</f>
        <v>7507</v>
      </c>
    </row>
    <row r="74" spans="1:4" hidden="1" x14ac:dyDescent="0.35">
      <c r="A74" s="1">
        <v>7506</v>
      </c>
      <c r="B74" s="3">
        <v>46301.395833333336</v>
      </c>
      <c r="C74" s="1" t="s">
        <v>28</v>
      </c>
      <c r="D74" s="1">
        <f>IFERROR(VLOOKUP(_2__Ferramental_AST[[#This Row],[ID]],CHECK_ACUM!A:A,1,0),"NOVO")</f>
        <v>7506</v>
      </c>
    </row>
    <row r="75" spans="1:4" hidden="1" x14ac:dyDescent="0.35">
      <c r="A75" s="1">
        <v>7505</v>
      </c>
      <c r="B75" s="3">
        <v>46301.395833333336</v>
      </c>
      <c r="C75" s="1" t="s">
        <v>28</v>
      </c>
      <c r="D75" s="1">
        <f>IFERROR(VLOOKUP(_2__Ferramental_AST[[#This Row],[ID]],CHECK_ACUM!A:A,1,0),"NOVO")</f>
        <v>7505</v>
      </c>
    </row>
    <row r="76" spans="1:4" hidden="1" x14ac:dyDescent="0.35">
      <c r="A76" s="1">
        <v>7504</v>
      </c>
      <c r="B76" s="3">
        <v>46301.395138888889</v>
      </c>
      <c r="C76" s="1" t="s">
        <v>28</v>
      </c>
      <c r="D76" s="1">
        <f>IFERROR(VLOOKUP(_2__Ferramental_AST[[#This Row],[ID]],CHECK_ACUM!A:A,1,0),"NOVO")</f>
        <v>7504</v>
      </c>
    </row>
    <row r="77" spans="1:4" hidden="1" x14ac:dyDescent="0.35">
      <c r="A77" s="1">
        <v>7503</v>
      </c>
      <c r="B77" s="3">
        <v>46301.394444444442</v>
      </c>
      <c r="C77" s="1" t="s">
        <v>28</v>
      </c>
      <c r="D77" s="1">
        <f>IFERROR(VLOOKUP(_2__Ferramental_AST[[#This Row],[ID]],CHECK_ACUM!A:A,1,0),"NOVO")</f>
        <v>7503</v>
      </c>
    </row>
    <row r="78" spans="1:4" hidden="1" x14ac:dyDescent="0.35">
      <c r="A78" s="1">
        <v>7502</v>
      </c>
      <c r="B78" s="3">
        <v>46301.393750000003</v>
      </c>
      <c r="C78" s="1" t="s">
        <v>28</v>
      </c>
      <c r="D78" s="1">
        <f>IFERROR(VLOOKUP(_2__Ferramental_AST[[#This Row],[ID]],CHECK_ACUM!A:A,1,0),"NOVO")</f>
        <v>7502</v>
      </c>
    </row>
    <row r="79" spans="1:4" hidden="1" x14ac:dyDescent="0.35">
      <c r="A79" s="1">
        <v>7500</v>
      </c>
      <c r="B79" s="3">
        <v>46301.366666666669</v>
      </c>
      <c r="C79" s="1" t="s">
        <v>24</v>
      </c>
      <c r="D79" s="1">
        <f>IFERROR(VLOOKUP(_2__Ferramental_AST[[#This Row],[ID]],CHECK_ACUM!A:A,1,0),"NOVO")</f>
        <v>7500</v>
      </c>
    </row>
    <row r="80" spans="1:4" hidden="1" x14ac:dyDescent="0.35">
      <c r="A80" s="1">
        <v>7499</v>
      </c>
      <c r="B80" s="3">
        <v>46301.365972222222</v>
      </c>
      <c r="C80" s="1" t="s">
        <v>24</v>
      </c>
      <c r="D80" s="1">
        <f>IFERROR(VLOOKUP(_2__Ferramental_AST[[#This Row],[ID]],CHECK_ACUM!A:A,1,0),"NOVO")</f>
        <v>7499</v>
      </c>
    </row>
    <row r="81" spans="1:4" hidden="1" x14ac:dyDescent="0.35">
      <c r="A81" s="1">
        <v>7498</v>
      </c>
      <c r="B81" s="3">
        <v>46301.365277777775</v>
      </c>
      <c r="C81" s="1" t="s">
        <v>24</v>
      </c>
      <c r="D81" s="1">
        <f>IFERROR(VLOOKUP(_2__Ferramental_AST[[#This Row],[ID]],CHECK_ACUM!A:A,1,0),"NOVO")</f>
        <v>7498</v>
      </c>
    </row>
    <row r="82" spans="1:4" hidden="1" x14ac:dyDescent="0.35">
      <c r="A82" s="1">
        <v>7497</v>
      </c>
      <c r="B82" s="3">
        <v>46301.363888888889</v>
      </c>
      <c r="C82" s="1" t="s">
        <v>24</v>
      </c>
      <c r="D82" s="1">
        <f>IFERROR(VLOOKUP(_2__Ferramental_AST[[#This Row],[ID]],CHECK_ACUM!A:A,1,0),"NOVO")</f>
        <v>7497</v>
      </c>
    </row>
    <row r="83" spans="1:4" hidden="1" x14ac:dyDescent="0.35">
      <c r="A83" s="1">
        <v>7496</v>
      </c>
      <c r="B83" s="3">
        <v>46301.363194444442</v>
      </c>
      <c r="C83" s="1" t="s">
        <v>24</v>
      </c>
      <c r="D83" s="1">
        <f>IFERROR(VLOOKUP(_2__Ferramental_AST[[#This Row],[ID]],CHECK_ACUM!A:A,1,0),"NOVO")</f>
        <v>7496</v>
      </c>
    </row>
    <row r="84" spans="1:4" hidden="1" x14ac:dyDescent="0.35">
      <c r="A84" s="1">
        <v>7495</v>
      </c>
      <c r="B84" s="3">
        <v>46301.362500000003</v>
      </c>
      <c r="C84" s="1" t="s">
        <v>24</v>
      </c>
      <c r="D84" s="1">
        <f>IFERROR(VLOOKUP(_2__Ferramental_AST[[#This Row],[ID]],CHECK_ACUM!A:A,1,0),"NOVO")</f>
        <v>7495</v>
      </c>
    </row>
    <row r="85" spans="1:4" hidden="1" x14ac:dyDescent="0.35">
      <c r="A85" s="1">
        <v>7494</v>
      </c>
      <c r="B85" s="3">
        <v>46301.362500000003</v>
      </c>
      <c r="C85" s="1" t="s">
        <v>24</v>
      </c>
      <c r="D85" s="1">
        <f>IFERROR(VLOOKUP(_2__Ferramental_AST[[#This Row],[ID]],CHECK_ACUM!A:A,1,0),"NOVO")</f>
        <v>7494</v>
      </c>
    </row>
    <row r="86" spans="1:4" hidden="1" x14ac:dyDescent="0.35">
      <c r="A86" s="1">
        <v>7493</v>
      </c>
      <c r="B86" s="3">
        <v>46301.361805555556</v>
      </c>
      <c r="C86" s="1" t="s">
        <v>24</v>
      </c>
      <c r="D86" s="1">
        <f>IFERROR(VLOOKUP(_2__Ferramental_AST[[#This Row],[ID]],CHECK_ACUM!A:A,1,0),"NOVO")</f>
        <v>7493</v>
      </c>
    </row>
    <row r="87" spans="1:4" hidden="1" x14ac:dyDescent="0.35">
      <c r="A87" s="1">
        <v>7492</v>
      </c>
      <c r="B87" s="3">
        <v>46301.361111111109</v>
      </c>
      <c r="C87" s="1" t="s">
        <v>24</v>
      </c>
      <c r="D87" s="1">
        <f>IFERROR(VLOOKUP(_2__Ferramental_AST[[#This Row],[ID]],CHECK_ACUM!A:A,1,0),"NOVO")</f>
        <v>7492</v>
      </c>
    </row>
    <row r="88" spans="1:4" hidden="1" x14ac:dyDescent="0.35">
      <c r="A88" s="1">
        <v>7491</v>
      </c>
      <c r="B88" s="3">
        <v>46301.359027777777</v>
      </c>
      <c r="C88" s="1" t="s">
        <v>3</v>
      </c>
      <c r="D88" s="1">
        <f>IFERROR(VLOOKUP(_2__Ferramental_AST[[#This Row],[ID]],CHECK_ACUM!A:A,1,0),"NOVO")</f>
        <v>7491</v>
      </c>
    </row>
    <row r="89" spans="1:4" hidden="1" x14ac:dyDescent="0.35">
      <c r="A89" s="1">
        <v>7490</v>
      </c>
      <c r="B89" s="3">
        <v>46301.361111111109</v>
      </c>
      <c r="C89" s="1" t="s">
        <v>24</v>
      </c>
      <c r="D89" s="1">
        <f>IFERROR(VLOOKUP(_2__Ferramental_AST[[#This Row],[ID]],CHECK_ACUM!A:A,1,0),"NOVO")</f>
        <v>7490</v>
      </c>
    </row>
    <row r="90" spans="1:4" hidden="1" x14ac:dyDescent="0.35">
      <c r="A90" s="1">
        <v>7489</v>
      </c>
      <c r="B90" s="3">
        <v>46301.35833333333</v>
      </c>
      <c r="C90" s="1" t="s">
        <v>19</v>
      </c>
      <c r="D90" s="1">
        <f>IFERROR(VLOOKUP(_2__Ferramental_AST[[#This Row],[ID]],CHECK_ACUM!A:A,1,0),"NOVO")</f>
        <v>7489</v>
      </c>
    </row>
    <row r="91" spans="1:4" hidden="1" x14ac:dyDescent="0.35">
      <c r="A91" s="1">
        <v>7488</v>
      </c>
      <c r="B91" s="3">
        <v>46301.35833333333</v>
      </c>
      <c r="C91" s="1" t="s">
        <v>3</v>
      </c>
      <c r="D91" s="1">
        <f>IFERROR(VLOOKUP(_2__Ferramental_AST[[#This Row],[ID]],CHECK_ACUM!A:A,1,0),"NOVO")</f>
        <v>7488</v>
      </c>
    </row>
    <row r="92" spans="1:4" hidden="1" x14ac:dyDescent="0.35">
      <c r="A92" s="1">
        <v>7487</v>
      </c>
      <c r="B92" s="3">
        <v>46301.356944444444</v>
      </c>
      <c r="C92" s="1" t="s">
        <v>3</v>
      </c>
      <c r="D92" s="1">
        <f>IFERROR(VLOOKUP(_2__Ferramental_AST[[#This Row],[ID]],CHECK_ACUM!A:A,1,0),"NOVO")</f>
        <v>7487</v>
      </c>
    </row>
    <row r="93" spans="1:4" hidden="1" x14ac:dyDescent="0.35">
      <c r="A93" s="1">
        <v>7486</v>
      </c>
      <c r="B93" s="3">
        <v>46301.288194444445</v>
      </c>
      <c r="C93" s="1" t="s">
        <v>9</v>
      </c>
      <c r="D93" s="1">
        <f>IFERROR(VLOOKUP(_2__Ferramental_AST[[#This Row],[ID]],CHECK_ACUM!A:A,1,0),"NOVO")</f>
        <v>7486</v>
      </c>
    </row>
    <row r="94" spans="1:4" hidden="1" x14ac:dyDescent="0.35">
      <c r="A94" s="1">
        <v>7485</v>
      </c>
      <c r="B94" s="3">
        <v>46301.287499999999</v>
      </c>
      <c r="C94" s="1" t="s">
        <v>9</v>
      </c>
      <c r="D94" s="1">
        <f>IFERROR(VLOOKUP(_2__Ferramental_AST[[#This Row],[ID]],CHECK_ACUM!A:A,1,0),"NOVO")</f>
        <v>7485</v>
      </c>
    </row>
    <row r="95" spans="1:4" hidden="1" x14ac:dyDescent="0.35">
      <c r="A95" s="1">
        <v>7484</v>
      </c>
      <c r="B95" s="3">
        <v>46301.286805555559</v>
      </c>
      <c r="C95" s="1" t="s">
        <v>9</v>
      </c>
      <c r="D95" s="1">
        <f>IFERROR(VLOOKUP(_2__Ferramental_AST[[#This Row],[ID]],CHECK_ACUM!A:A,1,0),"NOVO")</f>
        <v>7484</v>
      </c>
    </row>
    <row r="96" spans="1:4" hidden="1" x14ac:dyDescent="0.35">
      <c r="A96" s="1">
        <v>7482</v>
      </c>
      <c r="B96" s="3">
        <v>46297.784722222219</v>
      </c>
      <c r="C96" s="1" t="s">
        <v>5</v>
      </c>
      <c r="D96" s="1">
        <f>IFERROR(VLOOKUP(_2__Ferramental_AST[[#This Row],[ID]],CHECK_ACUM!A:A,1,0),"NOVO")</f>
        <v>7482</v>
      </c>
    </row>
    <row r="97" spans="1:4" hidden="1" x14ac:dyDescent="0.35">
      <c r="A97" s="1">
        <v>7481</v>
      </c>
      <c r="B97" s="3">
        <v>46297.78402777778</v>
      </c>
      <c r="C97" s="1" t="s">
        <v>5</v>
      </c>
      <c r="D97" s="1">
        <f>IFERROR(VLOOKUP(_2__Ferramental_AST[[#This Row],[ID]],CHECK_ACUM!A:A,1,0),"NOVO")</f>
        <v>7481</v>
      </c>
    </row>
    <row r="98" spans="1:4" hidden="1" x14ac:dyDescent="0.35">
      <c r="A98" s="1">
        <v>7480</v>
      </c>
      <c r="B98" s="3">
        <v>46297.781944444447</v>
      </c>
      <c r="C98" s="1" t="s">
        <v>5</v>
      </c>
      <c r="D98" s="1">
        <f>IFERROR(VLOOKUP(_2__Ferramental_AST[[#This Row],[ID]],CHECK_ACUM!A:A,1,0),"NOVO")</f>
        <v>7480</v>
      </c>
    </row>
    <row r="99" spans="1:4" hidden="1" x14ac:dyDescent="0.35">
      <c r="A99" s="1">
        <v>7479</v>
      </c>
      <c r="B99" s="3">
        <v>46297.779166666667</v>
      </c>
      <c r="C99" s="1" t="s">
        <v>5</v>
      </c>
      <c r="D99" s="1">
        <f>IFERROR(VLOOKUP(_2__Ferramental_AST[[#This Row],[ID]],CHECK_ACUM!A:A,1,0),"NOVO")</f>
        <v>7479</v>
      </c>
    </row>
    <row r="100" spans="1:4" hidden="1" x14ac:dyDescent="0.35">
      <c r="A100" s="1">
        <v>7478</v>
      </c>
      <c r="B100" s="3">
        <v>46297.777777777781</v>
      </c>
      <c r="C100" s="1" t="s">
        <v>5</v>
      </c>
      <c r="D100" s="1">
        <f>IFERROR(VLOOKUP(_2__Ferramental_AST[[#This Row],[ID]],CHECK_ACUM!A:A,1,0),"NOVO")</f>
        <v>7478</v>
      </c>
    </row>
    <row r="101" spans="1:4" hidden="1" x14ac:dyDescent="0.35">
      <c r="A101" s="1">
        <v>7477</v>
      </c>
      <c r="B101" s="3">
        <v>46297.690972222219</v>
      </c>
      <c r="C101" s="1" t="s">
        <v>22</v>
      </c>
      <c r="D101" s="1">
        <f>IFERROR(VLOOKUP(_2__Ferramental_AST[[#This Row],[ID]],CHECK_ACUM!A:A,1,0),"NOVO")</f>
        <v>7477</v>
      </c>
    </row>
    <row r="102" spans="1:4" hidden="1" x14ac:dyDescent="0.35">
      <c r="A102" s="1">
        <v>7476</v>
      </c>
      <c r="B102" s="3">
        <v>46297.69027777778</v>
      </c>
      <c r="C102" s="1" t="s">
        <v>22</v>
      </c>
      <c r="D102" s="1">
        <f>IFERROR(VLOOKUP(_2__Ferramental_AST[[#This Row],[ID]],CHECK_ACUM!A:A,1,0),"NOVO")</f>
        <v>7476</v>
      </c>
    </row>
    <row r="103" spans="1:4" hidden="1" x14ac:dyDescent="0.35">
      <c r="A103" s="1">
        <v>7475</v>
      </c>
      <c r="B103" s="3">
        <v>46297.597222222219</v>
      </c>
      <c r="C103" s="1" t="s">
        <v>9</v>
      </c>
      <c r="D103" s="1">
        <f>IFERROR(VLOOKUP(_2__Ferramental_AST[[#This Row],[ID]],CHECK_ACUM!A:A,1,0),"NOVO")</f>
        <v>7475</v>
      </c>
    </row>
    <row r="104" spans="1:4" hidden="1" x14ac:dyDescent="0.35">
      <c r="A104" s="1">
        <v>7474</v>
      </c>
      <c r="B104" s="3">
        <v>46297.522916666669</v>
      </c>
      <c r="C104" s="1" t="s">
        <v>28</v>
      </c>
      <c r="D104" s="1">
        <f>IFERROR(VLOOKUP(_2__Ferramental_AST[[#This Row],[ID]],CHECK_ACUM!A:A,1,0),"NOVO")</f>
        <v>7474</v>
      </c>
    </row>
    <row r="105" spans="1:4" hidden="1" x14ac:dyDescent="0.35">
      <c r="A105" s="1">
        <v>7473</v>
      </c>
      <c r="B105" s="3">
        <v>46297.522222222222</v>
      </c>
      <c r="C105" s="1" t="s">
        <v>28</v>
      </c>
      <c r="D105" s="1">
        <f>IFERROR(VLOOKUP(_2__Ferramental_AST[[#This Row],[ID]],CHECK_ACUM!A:A,1,0),"NOVO")</f>
        <v>7473</v>
      </c>
    </row>
    <row r="106" spans="1:4" hidden="1" x14ac:dyDescent="0.35">
      <c r="A106" s="1">
        <v>7472</v>
      </c>
      <c r="B106" s="3">
        <v>46297.458333333336</v>
      </c>
      <c r="C106" s="1" t="s">
        <v>3</v>
      </c>
      <c r="D106" s="1">
        <f>IFERROR(VLOOKUP(_2__Ferramental_AST[[#This Row],[ID]],CHECK_ACUM!A:A,1,0),"NOVO")</f>
        <v>7472</v>
      </c>
    </row>
    <row r="107" spans="1:4" hidden="1" x14ac:dyDescent="0.35">
      <c r="A107" s="1">
        <v>7471</v>
      </c>
      <c r="B107" s="3">
        <v>46297.411805555559</v>
      </c>
      <c r="C107" s="1" t="s">
        <v>9</v>
      </c>
      <c r="D107" s="1">
        <f>IFERROR(VLOOKUP(_2__Ferramental_AST[[#This Row],[ID]],CHECK_ACUM!A:A,1,0),"NOVO")</f>
        <v>7471</v>
      </c>
    </row>
    <row r="108" spans="1:4" hidden="1" x14ac:dyDescent="0.35">
      <c r="A108" s="1">
        <v>7470</v>
      </c>
      <c r="B108" s="3">
        <v>46296.605555555558</v>
      </c>
      <c r="C108" s="1" t="s">
        <v>19</v>
      </c>
      <c r="D108" s="1">
        <f>IFERROR(VLOOKUP(_2__Ferramental_AST[[#This Row],[ID]],CHECK_ACUM!A:A,1,0),"NOVO")</f>
        <v>7470</v>
      </c>
    </row>
    <row r="109" spans="1:4" hidden="1" x14ac:dyDescent="0.35">
      <c r="A109" s="1">
        <v>7469</v>
      </c>
      <c r="B109" s="3">
        <v>46296.543055555558</v>
      </c>
      <c r="C109" s="1" t="s">
        <v>9</v>
      </c>
      <c r="D109" s="1">
        <f>IFERROR(VLOOKUP(_2__Ferramental_AST[[#This Row],[ID]],CHECK_ACUM!A:A,1,0),"NOVO")</f>
        <v>7469</v>
      </c>
    </row>
    <row r="110" spans="1:4" hidden="1" x14ac:dyDescent="0.35">
      <c r="A110" s="1">
        <v>7468</v>
      </c>
      <c r="B110" s="3">
        <v>46296.53402777778</v>
      </c>
      <c r="C110" s="1" t="s">
        <v>5</v>
      </c>
      <c r="D110" s="1">
        <f>IFERROR(VLOOKUP(_2__Ferramental_AST[[#This Row],[ID]],CHECK_ACUM!A:A,1,0),"NOVO")</f>
        <v>7468</v>
      </c>
    </row>
    <row r="111" spans="1:4" hidden="1" x14ac:dyDescent="0.35">
      <c r="A111" s="1">
        <v>7467</v>
      </c>
      <c r="B111" s="3">
        <v>46296.533333333333</v>
      </c>
      <c r="C111" s="1" t="s">
        <v>5</v>
      </c>
      <c r="D111" s="1">
        <f>IFERROR(VLOOKUP(_2__Ferramental_AST[[#This Row],[ID]],CHECK_ACUM!A:A,1,0),"NOVO")</f>
        <v>7467</v>
      </c>
    </row>
    <row r="112" spans="1:4" hidden="1" x14ac:dyDescent="0.35">
      <c r="A112" s="1">
        <v>7466</v>
      </c>
      <c r="B112" s="3">
        <v>46296.531944444447</v>
      </c>
      <c r="C112" s="1" t="s">
        <v>5</v>
      </c>
      <c r="D112" s="1">
        <f>IFERROR(VLOOKUP(_2__Ferramental_AST[[#This Row],[ID]],CHECK_ACUM!A:A,1,0),"NOVO")</f>
        <v>7466</v>
      </c>
    </row>
    <row r="113" spans="1:4" hidden="1" x14ac:dyDescent="0.35">
      <c r="A113" s="1">
        <v>7465</v>
      </c>
      <c r="B113" s="3">
        <v>46296.525694444441</v>
      </c>
      <c r="C113" s="1" t="s">
        <v>5</v>
      </c>
      <c r="D113" s="1">
        <f>IFERROR(VLOOKUP(_2__Ferramental_AST[[#This Row],[ID]],CHECK_ACUM!A:A,1,0),"NOVO")</f>
        <v>7465</v>
      </c>
    </row>
    <row r="114" spans="1:4" hidden="1" x14ac:dyDescent="0.35">
      <c r="A114" s="1">
        <v>7464</v>
      </c>
      <c r="B114" s="3">
        <v>46296.524305555555</v>
      </c>
      <c r="C114" s="1" t="s">
        <v>5</v>
      </c>
      <c r="D114" s="1">
        <f>IFERROR(VLOOKUP(_2__Ferramental_AST[[#This Row],[ID]],CHECK_ACUM!A:A,1,0),"NOVO")</f>
        <v>7464</v>
      </c>
    </row>
    <row r="115" spans="1:4" hidden="1" x14ac:dyDescent="0.35">
      <c r="A115" s="1">
        <v>7463</v>
      </c>
      <c r="B115" s="3">
        <v>46296.522222222222</v>
      </c>
      <c r="C115" s="1" t="s">
        <v>5</v>
      </c>
      <c r="D115" s="1">
        <f>IFERROR(VLOOKUP(_2__Ferramental_AST[[#This Row],[ID]],CHECK_ACUM!A:A,1,0),"NOVO")</f>
        <v>7463</v>
      </c>
    </row>
    <row r="116" spans="1:4" hidden="1" x14ac:dyDescent="0.35">
      <c r="A116" s="1">
        <v>7462</v>
      </c>
      <c r="B116" s="3">
        <v>46296.475694444445</v>
      </c>
      <c r="C116" s="1" t="s">
        <v>19</v>
      </c>
      <c r="D116" s="1">
        <f>IFERROR(VLOOKUP(_2__Ferramental_AST[[#This Row],[ID]],CHECK_ACUM!A:A,1,0),"NOVO")</f>
        <v>7462</v>
      </c>
    </row>
    <row r="117" spans="1:4" hidden="1" x14ac:dyDescent="0.35">
      <c r="A117" s="1">
        <v>7461</v>
      </c>
      <c r="B117" s="3">
        <v>46296.474305555559</v>
      </c>
      <c r="C117" s="1" t="s">
        <v>19</v>
      </c>
      <c r="D117" s="1">
        <f>IFERROR(VLOOKUP(_2__Ferramental_AST[[#This Row],[ID]],CHECK_ACUM!A:A,1,0),"NOVO")</f>
        <v>7461</v>
      </c>
    </row>
    <row r="118" spans="1:4" hidden="1" x14ac:dyDescent="0.35">
      <c r="A118" s="1">
        <v>7460</v>
      </c>
      <c r="B118" s="3">
        <v>46295.581944444442</v>
      </c>
      <c r="C118" s="1" t="s">
        <v>3</v>
      </c>
      <c r="D118" s="1">
        <f>IFERROR(VLOOKUP(_2__Ferramental_AST[[#This Row],[ID]],CHECK_ACUM!A:A,1,0),"NOVO")</f>
        <v>7460</v>
      </c>
    </row>
    <row r="119" spans="1:4" hidden="1" x14ac:dyDescent="0.35">
      <c r="A119" s="1">
        <v>7457</v>
      </c>
      <c r="B119" s="3">
        <v>46294.790972222225</v>
      </c>
      <c r="C119" s="1" t="s">
        <v>5</v>
      </c>
      <c r="D119" s="1">
        <f>IFERROR(VLOOKUP(_2__Ferramental_AST[[#This Row],[ID]],CHECK_ACUM!A:A,1,0),"NOVO")</f>
        <v>7457</v>
      </c>
    </row>
    <row r="120" spans="1:4" hidden="1" x14ac:dyDescent="0.35">
      <c r="A120" s="1">
        <v>7456</v>
      </c>
      <c r="B120" s="3">
        <v>46294.787499999999</v>
      </c>
      <c r="C120" s="1" t="s">
        <v>5</v>
      </c>
      <c r="D120" s="1">
        <f>IFERROR(VLOOKUP(_2__Ferramental_AST[[#This Row],[ID]],CHECK_ACUM!A:A,1,0),"NOVO")</f>
        <v>7456</v>
      </c>
    </row>
    <row r="121" spans="1:4" hidden="1" x14ac:dyDescent="0.35">
      <c r="A121" s="1">
        <v>7455</v>
      </c>
      <c r="B121" s="3">
        <v>46294.757638888892</v>
      </c>
      <c r="C121" s="1" t="s">
        <v>5</v>
      </c>
      <c r="D121" s="1">
        <f>IFERROR(VLOOKUP(_2__Ferramental_AST[[#This Row],[ID]],CHECK_ACUM!A:A,1,0),"NOVO")</f>
        <v>7455</v>
      </c>
    </row>
    <row r="122" spans="1:4" hidden="1" x14ac:dyDescent="0.35">
      <c r="A122" s="1">
        <v>7453</v>
      </c>
      <c r="B122" s="3">
        <v>46293.731944444444</v>
      </c>
      <c r="C122" s="1" t="s">
        <v>24</v>
      </c>
      <c r="D122" s="1">
        <f>IFERROR(VLOOKUP(_2__Ferramental_AST[[#This Row],[ID]],CHECK_ACUM!A:A,1,0),"NOVO")</f>
        <v>7453</v>
      </c>
    </row>
    <row r="123" spans="1:4" hidden="1" x14ac:dyDescent="0.35">
      <c r="A123" s="1">
        <v>7452</v>
      </c>
      <c r="B123" s="3">
        <v>46293.567361111112</v>
      </c>
      <c r="C123" s="1" t="s">
        <v>3</v>
      </c>
      <c r="D123" s="1">
        <f>IFERROR(VLOOKUP(_2__Ferramental_AST[[#This Row],[ID]],CHECK_ACUM!A:A,1,0),"NOVO")</f>
        <v>7452</v>
      </c>
    </row>
    <row r="124" spans="1:4" hidden="1" x14ac:dyDescent="0.35">
      <c r="A124" s="1">
        <v>7450</v>
      </c>
      <c r="B124" s="3">
        <v>46290.431944444441</v>
      </c>
      <c r="C124" s="1" t="s">
        <v>9</v>
      </c>
      <c r="D124" s="1">
        <f>IFERROR(VLOOKUP(_2__Ferramental_AST[[#This Row],[ID]],CHECK_ACUM!A:A,1,0),"NOVO")</f>
        <v>7450</v>
      </c>
    </row>
    <row r="125" spans="1:4" hidden="1" x14ac:dyDescent="0.35">
      <c r="A125" s="1">
        <v>7449</v>
      </c>
      <c r="B125" s="3">
        <v>46290.431250000001</v>
      </c>
      <c r="C125" s="1" t="s">
        <v>9</v>
      </c>
      <c r="D125" s="1">
        <f>IFERROR(VLOOKUP(_2__Ferramental_AST[[#This Row],[ID]],CHECK_ACUM!A:A,1,0),"NOVO")</f>
        <v>7449</v>
      </c>
    </row>
    <row r="126" spans="1:4" hidden="1" x14ac:dyDescent="0.35">
      <c r="A126" s="1">
        <v>7448</v>
      </c>
      <c r="B126" s="3">
        <v>46290.388194444444</v>
      </c>
      <c r="C126" s="1" t="s">
        <v>24</v>
      </c>
      <c r="D126" s="1">
        <f>IFERROR(VLOOKUP(_2__Ferramental_AST[[#This Row],[ID]],CHECK_ACUM!A:A,1,0),"NOVO")</f>
        <v>7448</v>
      </c>
    </row>
    <row r="127" spans="1:4" hidden="1" x14ac:dyDescent="0.35">
      <c r="A127" s="1">
        <v>7447</v>
      </c>
      <c r="B127" s="3">
        <v>46290.386805555558</v>
      </c>
      <c r="C127" s="1" t="s">
        <v>24</v>
      </c>
      <c r="D127" s="1">
        <f>IFERROR(VLOOKUP(_2__Ferramental_AST[[#This Row],[ID]],CHECK_ACUM!A:A,1,0),"NOVO")</f>
        <v>7447</v>
      </c>
    </row>
    <row r="128" spans="1:4" hidden="1" x14ac:dyDescent="0.35">
      <c r="A128" s="1">
        <v>7446</v>
      </c>
      <c r="B128" s="3">
        <v>46290.386111111111</v>
      </c>
      <c r="C128" s="1" t="s">
        <v>24</v>
      </c>
      <c r="D128" s="1">
        <f>IFERROR(VLOOKUP(_2__Ferramental_AST[[#This Row],[ID]],CHECK_ACUM!A:A,1,0),"NOVO")</f>
        <v>7446</v>
      </c>
    </row>
    <row r="129" spans="1:4" hidden="1" x14ac:dyDescent="0.35">
      <c r="A129" s="1">
        <v>7445</v>
      </c>
      <c r="B129" s="3">
        <v>46288.646527777775</v>
      </c>
      <c r="C129" s="1" t="s">
        <v>28</v>
      </c>
      <c r="D129" s="1">
        <f>IFERROR(VLOOKUP(_2__Ferramental_AST[[#This Row],[ID]],CHECK_ACUM!A:A,1,0),"NOVO")</f>
        <v>7445</v>
      </c>
    </row>
    <row r="130" spans="1:4" hidden="1" x14ac:dyDescent="0.35">
      <c r="A130" s="1">
        <v>7444</v>
      </c>
      <c r="B130" s="3">
        <v>46288.645833333336</v>
      </c>
      <c r="C130" s="1" t="s">
        <v>28</v>
      </c>
      <c r="D130" s="1">
        <f>IFERROR(VLOOKUP(_2__Ferramental_AST[[#This Row],[ID]],CHECK_ACUM!A:A,1,0),"NOVO")</f>
        <v>7444</v>
      </c>
    </row>
    <row r="131" spans="1:4" hidden="1" x14ac:dyDescent="0.35">
      <c r="A131" s="1">
        <v>7443</v>
      </c>
      <c r="B131" s="3">
        <v>46288.64166666667</v>
      </c>
      <c r="C131" s="1" t="s">
        <v>28</v>
      </c>
      <c r="D131" s="1">
        <f>IFERROR(VLOOKUP(_2__Ferramental_AST[[#This Row],[ID]],CHECK_ACUM!A:A,1,0),"NOVO")</f>
        <v>7443</v>
      </c>
    </row>
    <row r="132" spans="1:4" hidden="1" x14ac:dyDescent="0.35">
      <c r="A132" s="1">
        <v>7442</v>
      </c>
      <c r="B132" s="3">
        <v>46288.59097222222</v>
      </c>
      <c r="C132" s="1" t="s">
        <v>21</v>
      </c>
      <c r="D132" s="1">
        <f>IFERROR(VLOOKUP(_2__Ferramental_AST[[#This Row],[ID]],CHECK_ACUM!A:A,1,0),"NOVO")</f>
        <v>7442</v>
      </c>
    </row>
    <row r="133" spans="1:4" hidden="1" x14ac:dyDescent="0.35">
      <c r="A133" s="1">
        <v>7441</v>
      </c>
      <c r="B133" s="3">
        <v>46288.386805555558</v>
      </c>
      <c r="C133" s="1" t="s">
        <v>21</v>
      </c>
      <c r="D133" s="1">
        <f>IFERROR(VLOOKUP(_2__Ferramental_AST[[#This Row],[ID]],CHECK_ACUM!A:A,1,0),"NOVO")</f>
        <v>7441</v>
      </c>
    </row>
    <row r="134" spans="1:4" hidden="1" x14ac:dyDescent="0.35">
      <c r="A134" s="1">
        <v>7439</v>
      </c>
      <c r="B134" s="3">
        <v>46286.727083333331</v>
      </c>
      <c r="C134" s="1" t="s">
        <v>9</v>
      </c>
      <c r="D134" s="1">
        <f>IFERROR(VLOOKUP(_2__Ferramental_AST[[#This Row],[ID]],CHECK_ACUM!A:A,1,0),"NOVO")</f>
        <v>7439</v>
      </c>
    </row>
    <row r="135" spans="1:4" hidden="1" x14ac:dyDescent="0.35">
      <c r="A135" s="1">
        <v>7438</v>
      </c>
      <c r="B135" s="3">
        <v>46286.689583333333</v>
      </c>
      <c r="C135" s="1" t="s">
        <v>3</v>
      </c>
      <c r="D135" s="1">
        <f>IFERROR(VLOOKUP(_2__Ferramental_AST[[#This Row],[ID]],CHECK_ACUM!A:A,1,0),"NOVO")</f>
        <v>7438</v>
      </c>
    </row>
    <row r="136" spans="1:4" hidden="1" x14ac:dyDescent="0.35">
      <c r="A136" s="1">
        <v>7437</v>
      </c>
      <c r="B136" s="3">
        <v>46286.661111111112</v>
      </c>
      <c r="C136" s="1" t="s">
        <v>3</v>
      </c>
      <c r="D136" s="1">
        <f>IFERROR(VLOOKUP(_2__Ferramental_AST[[#This Row],[ID]],CHECK_ACUM!A:A,1,0),"NOVO")</f>
        <v>7437</v>
      </c>
    </row>
    <row r="137" spans="1:4" hidden="1" x14ac:dyDescent="0.35">
      <c r="A137" s="1">
        <v>7435</v>
      </c>
      <c r="B137" s="3">
        <v>46283.544444444444</v>
      </c>
      <c r="C137" s="1" t="s">
        <v>3</v>
      </c>
      <c r="D137" s="1">
        <f>IFERROR(VLOOKUP(_2__Ferramental_AST[[#This Row],[ID]],CHECK_ACUM!A:A,1,0),"NOVO")</f>
        <v>7435</v>
      </c>
    </row>
    <row r="138" spans="1:4" hidden="1" x14ac:dyDescent="0.35">
      <c r="A138" s="1">
        <v>7434</v>
      </c>
      <c r="B138" s="3">
        <v>46283.451388888891</v>
      </c>
      <c r="C138" s="1" t="s">
        <v>19</v>
      </c>
      <c r="D138" s="1">
        <f>IFERROR(VLOOKUP(_2__Ferramental_AST[[#This Row],[ID]],CHECK_ACUM!A:A,1,0),"NOVO")</f>
        <v>7434</v>
      </c>
    </row>
    <row r="139" spans="1:4" hidden="1" x14ac:dyDescent="0.35">
      <c r="A139" s="1">
        <v>7429</v>
      </c>
      <c r="B139" s="3">
        <v>46282.378472222219</v>
      </c>
      <c r="C139" s="1" t="s">
        <v>19</v>
      </c>
      <c r="D139" s="1">
        <f>IFERROR(VLOOKUP(_2__Ferramental_AST[[#This Row],[ID]],CHECK_ACUM!A:A,1,0),"NOVO")</f>
        <v>7429</v>
      </c>
    </row>
    <row r="140" spans="1:4" hidden="1" x14ac:dyDescent="0.35">
      <c r="A140" s="1">
        <v>7428</v>
      </c>
      <c r="B140" s="3">
        <v>46282.286805555559</v>
      </c>
      <c r="C140" s="1" t="s">
        <v>19</v>
      </c>
      <c r="D140" s="1">
        <f>IFERROR(VLOOKUP(_2__Ferramental_AST[[#This Row],[ID]],CHECK_ACUM!A:A,1,0),"NOVO")</f>
        <v>7428</v>
      </c>
    </row>
    <row r="141" spans="1:4" hidden="1" x14ac:dyDescent="0.35">
      <c r="A141" s="1">
        <v>7427</v>
      </c>
      <c r="B141" s="3">
        <v>46281.697222222225</v>
      </c>
      <c r="C141" s="1" t="s">
        <v>9</v>
      </c>
      <c r="D141" s="1">
        <f>IFERROR(VLOOKUP(_2__Ferramental_AST[[#This Row],[ID]],CHECK_ACUM!A:A,1,0),"NOVO")</f>
        <v>7427</v>
      </c>
    </row>
    <row r="142" spans="1:4" hidden="1" x14ac:dyDescent="0.35">
      <c r="A142" s="1">
        <v>7420</v>
      </c>
      <c r="B142" s="3">
        <v>46281.550694444442</v>
      </c>
      <c r="C142" s="1" t="s">
        <v>3</v>
      </c>
      <c r="D142" s="1">
        <f>IFERROR(VLOOKUP(_2__Ferramental_AST[[#This Row],[ID]],CHECK_ACUM!A:A,1,0),"NOVO")</f>
        <v>7420</v>
      </c>
    </row>
    <row r="143" spans="1:4" hidden="1" x14ac:dyDescent="0.35">
      <c r="A143" s="1">
        <v>7419</v>
      </c>
      <c r="B143" s="3">
        <v>46281.430555555555</v>
      </c>
      <c r="C143" s="1" t="s">
        <v>3</v>
      </c>
      <c r="D143" s="1">
        <f>IFERROR(VLOOKUP(_2__Ferramental_AST[[#This Row],[ID]],CHECK_ACUM!A:A,1,0),"NOVO")</f>
        <v>7419</v>
      </c>
    </row>
    <row r="144" spans="1:4" hidden="1" x14ac:dyDescent="0.35">
      <c r="A144" s="1">
        <v>7417</v>
      </c>
      <c r="B144" s="3">
        <v>46280.645138888889</v>
      </c>
      <c r="C144" s="1" t="s">
        <v>28</v>
      </c>
      <c r="D144" s="1">
        <f>IFERROR(VLOOKUP(_2__Ferramental_AST[[#This Row],[ID]],CHECK_ACUM!A:A,1,0),"NOVO")</f>
        <v>7417</v>
      </c>
    </row>
    <row r="145" spans="1:4" hidden="1" x14ac:dyDescent="0.35">
      <c r="A145" s="1">
        <v>7416</v>
      </c>
      <c r="B145" s="3">
        <v>46280.503472222219</v>
      </c>
      <c r="C145" s="1" t="s">
        <v>24</v>
      </c>
      <c r="D145" s="1">
        <f>IFERROR(VLOOKUP(_2__Ferramental_AST[[#This Row],[ID]],CHECK_ACUM!A:A,1,0),"NOVO")</f>
        <v>7416</v>
      </c>
    </row>
    <row r="146" spans="1:4" hidden="1" x14ac:dyDescent="0.35">
      <c r="A146" s="1">
        <v>7415</v>
      </c>
      <c r="B146" s="3">
        <v>46280.50277777778</v>
      </c>
      <c r="C146" s="1" t="s">
        <v>9</v>
      </c>
      <c r="D146" s="1">
        <f>IFERROR(VLOOKUP(_2__Ferramental_AST[[#This Row],[ID]],CHECK_ACUM!A:A,1,0),"NOVO")</f>
        <v>7415</v>
      </c>
    </row>
    <row r="147" spans="1:4" hidden="1" x14ac:dyDescent="0.35">
      <c r="A147" s="1">
        <v>7414</v>
      </c>
      <c r="B147" s="3">
        <v>46280.502083333333</v>
      </c>
      <c r="C147" s="1" t="s">
        <v>24</v>
      </c>
      <c r="D147" s="1">
        <f>IFERROR(VLOOKUP(_2__Ferramental_AST[[#This Row],[ID]],CHECK_ACUM!A:A,1,0),"NOVO")</f>
        <v>7414</v>
      </c>
    </row>
    <row r="148" spans="1:4" hidden="1" x14ac:dyDescent="0.35">
      <c r="A148" s="1">
        <v>7413</v>
      </c>
      <c r="B148" s="3">
        <v>46280.501388888886</v>
      </c>
      <c r="C148" s="1" t="s">
        <v>24</v>
      </c>
      <c r="D148" s="1">
        <f>IFERROR(VLOOKUP(_2__Ferramental_AST[[#This Row],[ID]],CHECK_ACUM!A:A,1,0),"NOVO")</f>
        <v>7413</v>
      </c>
    </row>
    <row r="149" spans="1:4" hidden="1" x14ac:dyDescent="0.35">
      <c r="A149" s="1">
        <v>7412</v>
      </c>
      <c r="B149" s="3">
        <v>46280.501388888886</v>
      </c>
      <c r="C149" s="1" t="s">
        <v>24</v>
      </c>
      <c r="D149" s="1">
        <f>IFERROR(VLOOKUP(_2__Ferramental_AST[[#This Row],[ID]],CHECK_ACUM!A:A,1,0),"NOVO")</f>
        <v>7412</v>
      </c>
    </row>
    <row r="150" spans="1:4" hidden="1" x14ac:dyDescent="0.35">
      <c r="A150" s="1">
        <v>7411</v>
      </c>
      <c r="B150" s="3">
        <v>46280.500694444447</v>
      </c>
      <c r="C150" s="1" t="s">
        <v>24</v>
      </c>
      <c r="D150" s="1">
        <f>IFERROR(VLOOKUP(_2__Ferramental_AST[[#This Row],[ID]],CHECK_ACUM!A:A,1,0),"NOVO")</f>
        <v>7411</v>
      </c>
    </row>
    <row r="151" spans="1:4" hidden="1" x14ac:dyDescent="0.35">
      <c r="A151" s="1">
        <v>7410</v>
      </c>
      <c r="B151" s="3">
        <v>46280.499305555553</v>
      </c>
      <c r="C151" s="1" t="s">
        <v>24</v>
      </c>
      <c r="D151" s="1">
        <f>IFERROR(VLOOKUP(_2__Ferramental_AST[[#This Row],[ID]],CHECK_ACUM!A:A,1,0),"NOVO")</f>
        <v>7410</v>
      </c>
    </row>
    <row r="152" spans="1:4" hidden="1" x14ac:dyDescent="0.35">
      <c r="A152" s="1">
        <v>7409</v>
      </c>
      <c r="B152" s="3">
        <v>46280.482638888891</v>
      </c>
      <c r="C152" s="1" t="s">
        <v>9</v>
      </c>
      <c r="D152" s="1">
        <f>IFERROR(VLOOKUP(_2__Ferramental_AST[[#This Row],[ID]],CHECK_ACUM!A:A,1,0),"NOVO")</f>
        <v>7409</v>
      </c>
    </row>
    <row r="153" spans="1:4" hidden="1" x14ac:dyDescent="0.35">
      <c r="A153" s="1">
        <v>7408</v>
      </c>
      <c r="B153" s="3">
        <v>46280.376388888886</v>
      </c>
      <c r="C153" s="1" t="s">
        <v>19</v>
      </c>
      <c r="D153" s="1">
        <f>IFERROR(VLOOKUP(_2__Ferramental_AST[[#This Row],[ID]],CHECK_ACUM!A:A,1,0),"NOVO")</f>
        <v>7408</v>
      </c>
    </row>
    <row r="154" spans="1:4" hidden="1" x14ac:dyDescent="0.35">
      <c r="A154" s="1">
        <v>7403</v>
      </c>
      <c r="B154" s="3">
        <v>46279.615277777775</v>
      </c>
      <c r="C154" s="1" t="s">
        <v>3</v>
      </c>
      <c r="D154" s="1">
        <f>IFERROR(VLOOKUP(_2__Ferramental_AST[[#This Row],[ID]],CHECK_ACUM!A:A,1,0),"NOVO")</f>
        <v>7403</v>
      </c>
    </row>
    <row r="155" spans="1:4" hidden="1" x14ac:dyDescent="0.35">
      <c r="A155" s="1">
        <v>7402</v>
      </c>
      <c r="B155" s="3">
        <v>46279.586111111108</v>
      </c>
      <c r="C155" s="1" t="s">
        <v>28</v>
      </c>
      <c r="D155" s="1">
        <f>IFERROR(VLOOKUP(_2__Ferramental_AST[[#This Row],[ID]],CHECK_ACUM!A:A,1,0),"NOVO")</f>
        <v>7402</v>
      </c>
    </row>
    <row r="156" spans="1:4" hidden="1" x14ac:dyDescent="0.35">
      <c r="A156" s="1">
        <v>7401</v>
      </c>
      <c r="B156" s="3">
        <v>46279.552083333336</v>
      </c>
      <c r="C156" s="1" t="s">
        <v>3</v>
      </c>
      <c r="D156" s="1">
        <f>IFERROR(VLOOKUP(_2__Ferramental_AST[[#This Row],[ID]],CHECK_ACUM!A:A,1,0),"NOVO")</f>
        <v>7401</v>
      </c>
    </row>
    <row r="157" spans="1:4" hidden="1" x14ac:dyDescent="0.35">
      <c r="A157" s="1">
        <v>7399</v>
      </c>
      <c r="B157" s="3">
        <v>46279.404861111114</v>
      </c>
      <c r="C157" s="1" t="s">
        <v>34</v>
      </c>
      <c r="D157" s="1">
        <f>IFERROR(VLOOKUP(_2__Ferramental_AST[[#This Row],[ID]],CHECK_ACUM!A:A,1,0),"NOVO")</f>
        <v>7399</v>
      </c>
    </row>
    <row r="158" spans="1:4" hidden="1" x14ac:dyDescent="0.35">
      <c r="A158" s="1">
        <v>7398</v>
      </c>
      <c r="B158" s="3">
        <v>46279.40347222222</v>
      </c>
      <c r="C158" s="1" t="s">
        <v>34</v>
      </c>
      <c r="D158" s="1">
        <f>IFERROR(VLOOKUP(_2__Ferramental_AST[[#This Row],[ID]],CHECK_ACUM!A:A,1,0),"NOVO")</f>
        <v>7398</v>
      </c>
    </row>
    <row r="159" spans="1:4" hidden="1" x14ac:dyDescent="0.35">
      <c r="A159" s="1">
        <v>7397</v>
      </c>
      <c r="B159" s="3">
        <v>46279.402777777781</v>
      </c>
      <c r="C159" s="1" t="s">
        <v>34</v>
      </c>
      <c r="D159" s="1">
        <f>IFERROR(VLOOKUP(_2__Ferramental_AST[[#This Row],[ID]],CHECK_ACUM!A:A,1,0),"NOVO")</f>
        <v>7397</v>
      </c>
    </row>
    <row r="160" spans="1:4" hidden="1" x14ac:dyDescent="0.35">
      <c r="A160" s="1">
        <v>7396</v>
      </c>
      <c r="B160" s="3">
        <v>46279.401388888888</v>
      </c>
      <c r="C160" s="1" t="s">
        <v>34</v>
      </c>
      <c r="D160" s="1">
        <f>IFERROR(VLOOKUP(_2__Ferramental_AST[[#This Row],[ID]],CHECK_ACUM!A:A,1,0),"NOVO")</f>
        <v>7396</v>
      </c>
    </row>
    <row r="161" spans="1:4" hidden="1" x14ac:dyDescent="0.35">
      <c r="A161" s="1">
        <v>7395</v>
      </c>
      <c r="B161" s="3">
        <v>46279.399305555555</v>
      </c>
      <c r="C161" s="1" t="s">
        <v>34</v>
      </c>
      <c r="D161" s="1">
        <f>IFERROR(VLOOKUP(_2__Ferramental_AST[[#This Row],[ID]],CHECK_ACUM!A:A,1,0),"NOVO")</f>
        <v>7395</v>
      </c>
    </row>
    <row r="162" spans="1:4" hidden="1" x14ac:dyDescent="0.35">
      <c r="A162" s="1">
        <v>7394</v>
      </c>
      <c r="B162" s="3">
        <v>46279.397916666669</v>
      </c>
      <c r="C162" s="1" t="s">
        <v>34</v>
      </c>
      <c r="D162" s="1">
        <f>IFERROR(VLOOKUP(_2__Ferramental_AST[[#This Row],[ID]],CHECK_ACUM!A:A,1,0),"NOVO")</f>
        <v>7394</v>
      </c>
    </row>
    <row r="163" spans="1:4" hidden="1" x14ac:dyDescent="0.35">
      <c r="A163" s="1">
        <v>7393</v>
      </c>
      <c r="B163" s="3">
        <v>46279.397222222222</v>
      </c>
      <c r="C163" s="1" t="s">
        <v>34</v>
      </c>
      <c r="D163" s="1">
        <f>IFERROR(VLOOKUP(_2__Ferramental_AST[[#This Row],[ID]],CHECK_ACUM!A:A,1,0),"NOVO")</f>
        <v>7393</v>
      </c>
    </row>
    <row r="164" spans="1:4" hidden="1" x14ac:dyDescent="0.35">
      <c r="A164" s="1">
        <v>7392</v>
      </c>
      <c r="B164" s="3">
        <v>46279.397222222222</v>
      </c>
      <c r="C164" s="1" t="s">
        <v>19</v>
      </c>
      <c r="D164" s="1">
        <f>IFERROR(VLOOKUP(_2__Ferramental_AST[[#This Row],[ID]],CHECK_ACUM!A:A,1,0),"NOVO")</f>
        <v>7392</v>
      </c>
    </row>
    <row r="165" spans="1:4" hidden="1" x14ac:dyDescent="0.35">
      <c r="A165" s="1">
        <v>7391</v>
      </c>
      <c r="B165" s="3">
        <v>46279.395833333336</v>
      </c>
      <c r="C165" s="1" t="s">
        <v>19</v>
      </c>
      <c r="D165" s="1">
        <f>IFERROR(VLOOKUP(_2__Ferramental_AST[[#This Row],[ID]],CHECK_ACUM!A:A,1,0),"NOVO")</f>
        <v>7391</v>
      </c>
    </row>
    <row r="166" spans="1:4" hidden="1" x14ac:dyDescent="0.35">
      <c r="A166" s="1">
        <v>7390</v>
      </c>
      <c r="B166" s="3">
        <v>46279.395138888889</v>
      </c>
      <c r="C166" s="1" t="s">
        <v>34</v>
      </c>
      <c r="D166" s="1">
        <f>IFERROR(VLOOKUP(_2__Ferramental_AST[[#This Row],[ID]],CHECK_ACUM!A:A,1,0),"NOVO")</f>
        <v>7390</v>
      </c>
    </row>
    <row r="167" spans="1:4" hidden="1" x14ac:dyDescent="0.35">
      <c r="A167" s="1">
        <v>7389</v>
      </c>
      <c r="B167" s="3">
        <v>46279.393055555556</v>
      </c>
      <c r="C167" s="1" t="s">
        <v>34</v>
      </c>
      <c r="D167" s="1">
        <f>IFERROR(VLOOKUP(_2__Ferramental_AST[[#This Row],[ID]],CHECK_ACUM!A:A,1,0),"NOVO")</f>
        <v>7389</v>
      </c>
    </row>
    <row r="168" spans="1:4" hidden="1" x14ac:dyDescent="0.35">
      <c r="A168" s="1">
        <v>7388</v>
      </c>
      <c r="B168" s="3">
        <v>46279.39166666667</v>
      </c>
      <c r="C168" s="1" t="s">
        <v>34</v>
      </c>
      <c r="D168" s="1">
        <f>IFERROR(VLOOKUP(_2__Ferramental_AST[[#This Row],[ID]],CHECK_ACUM!A:A,1,0),"NOVO")</f>
        <v>7388</v>
      </c>
    </row>
    <row r="169" spans="1:4" hidden="1" x14ac:dyDescent="0.35">
      <c r="A169" s="1">
        <v>7387</v>
      </c>
      <c r="B169" s="3">
        <v>46279.390277777777</v>
      </c>
      <c r="C169" s="1" t="s">
        <v>34</v>
      </c>
      <c r="D169" s="1">
        <f>IFERROR(VLOOKUP(_2__Ferramental_AST[[#This Row],[ID]],CHECK_ACUM!A:A,1,0),"NOVO")</f>
        <v>7387</v>
      </c>
    </row>
    <row r="170" spans="1:4" hidden="1" x14ac:dyDescent="0.35">
      <c r="A170" s="1">
        <v>7386</v>
      </c>
      <c r="B170" s="3">
        <v>46279.388888888891</v>
      </c>
      <c r="C170" s="1" t="s">
        <v>34</v>
      </c>
      <c r="D170" s="1">
        <f>IFERROR(VLOOKUP(_2__Ferramental_AST[[#This Row],[ID]],CHECK_ACUM!A:A,1,0),"NOVO")</f>
        <v>7386</v>
      </c>
    </row>
    <row r="171" spans="1:4" hidden="1" x14ac:dyDescent="0.35">
      <c r="A171" s="1">
        <v>7385</v>
      </c>
      <c r="B171" s="3">
        <v>46279.386805555558</v>
      </c>
      <c r="C171" s="1" t="s">
        <v>34</v>
      </c>
      <c r="D171" s="1">
        <f>IFERROR(VLOOKUP(_2__Ferramental_AST[[#This Row],[ID]],CHECK_ACUM!A:A,1,0),"NOVO")</f>
        <v>7385</v>
      </c>
    </row>
    <row r="172" spans="1:4" hidden="1" x14ac:dyDescent="0.35">
      <c r="A172" s="1">
        <v>7384</v>
      </c>
      <c r="B172" s="3">
        <v>46279.386111111111</v>
      </c>
      <c r="C172" s="1" t="s">
        <v>34</v>
      </c>
      <c r="D172" s="1">
        <f>IFERROR(VLOOKUP(_2__Ferramental_AST[[#This Row],[ID]],CHECK_ACUM!A:A,1,0),"NOVO")</f>
        <v>7384</v>
      </c>
    </row>
    <row r="173" spans="1:4" hidden="1" x14ac:dyDescent="0.35">
      <c r="A173" s="1">
        <v>7383</v>
      </c>
      <c r="B173" s="3">
        <v>46279.384722222225</v>
      </c>
      <c r="C173" s="1" t="s">
        <v>34</v>
      </c>
      <c r="D173" s="1">
        <f>IFERROR(VLOOKUP(_2__Ferramental_AST[[#This Row],[ID]],CHECK_ACUM!A:A,1,0),"NOVO")</f>
        <v>7383</v>
      </c>
    </row>
    <row r="174" spans="1:4" hidden="1" x14ac:dyDescent="0.35">
      <c r="A174" s="1">
        <v>7382</v>
      </c>
      <c r="B174" s="3">
        <v>46279.382638888892</v>
      </c>
      <c r="C174" s="1" t="s">
        <v>34</v>
      </c>
      <c r="D174" s="1">
        <f>IFERROR(VLOOKUP(_2__Ferramental_AST[[#This Row],[ID]],CHECK_ACUM!A:A,1,0),"NOVO")</f>
        <v>7382</v>
      </c>
    </row>
    <row r="175" spans="1:4" hidden="1" x14ac:dyDescent="0.35">
      <c r="A175" s="1">
        <v>7381</v>
      </c>
      <c r="B175" s="3">
        <v>46279.381249999999</v>
      </c>
      <c r="C175" s="1" t="s">
        <v>34</v>
      </c>
      <c r="D175" s="1">
        <f>IFERROR(VLOOKUP(_2__Ferramental_AST[[#This Row],[ID]],CHECK_ACUM!A:A,1,0),"NOVO")</f>
        <v>7381</v>
      </c>
    </row>
    <row r="176" spans="1:4" hidden="1" x14ac:dyDescent="0.35">
      <c r="A176" s="1">
        <v>7380</v>
      </c>
      <c r="B176" s="3">
        <v>46279.380555555559</v>
      </c>
      <c r="C176" s="1" t="s">
        <v>34</v>
      </c>
      <c r="D176" s="1">
        <f>IFERROR(VLOOKUP(_2__Ferramental_AST[[#This Row],[ID]],CHECK_ACUM!A:A,1,0),"NOVO")</f>
        <v>7380</v>
      </c>
    </row>
    <row r="177" spans="1:4" hidden="1" x14ac:dyDescent="0.35">
      <c r="A177" s="1">
        <v>7379</v>
      </c>
      <c r="B177" s="3">
        <v>46279.379166666666</v>
      </c>
      <c r="C177" s="1" t="s">
        <v>34</v>
      </c>
      <c r="D177" s="1">
        <f>IFERROR(VLOOKUP(_2__Ferramental_AST[[#This Row],[ID]],CHECK_ACUM!A:A,1,0),"NOVO")</f>
        <v>7379</v>
      </c>
    </row>
    <row r="178" spans="1:4" hidden="1" x14ac:dyDescent="0.35">
      <c r="A178" s="1">
        <v>7378</v>
      </c>
      <c r="B178" s="3">
        <v>46279.37777777778</v>
      </c>
      <c r="C178" s="1" t="s">
        <v>34</v>
      </c>
      <c r="D178" s="1">
        <f>IFERROR(VLOOKUP(_2__Ferramental_AST[[#This Row],[ID]],CHECK_ACUM!A:A,1,0),"NOVO")</f>
        <v>7378</v>
      </c>
    </row>
    <row r="179" spans="1:4" hidden="1" x14ac:dyDescent="0.35">
      <c r="A179" s="1">
        <v>7377</v>
      </c>
      <c r="B179" s="3">
        <v>46279.377083333333</v>
      </c>
      <c r="C179" s="1" t="s">
        <v>34</v>
      </c>
      <c r="D179" s="1">
        <f>IFERROR(VLOOKUP(_2__Ferramental_AST[[#This Row],[ID]],CHECK_ACUM!A:A,1,0),"NOVO")</f>
        <v>7377</v>
      </c>
    </row>
    <row r="180" spans="1:4" hidden="1" x14ac:dyDescent="0.35">
      <c r="A180" s="1">
        <v>7376</v>
      </c>
      <c r="B180" s="3">
        <v>46279.375694444447</v>
      </c>
      <c r="C180" s="1" t="s">
        <v>34</v>
      </c>
      <c r="D180" s="1">
        <f>IFERROR(VLOOKUP(_2__Ferramental_AST[[#This Row],[ID]],CHECK_ACUM!A:A,1,0),"NOVO")</f>
        <v>7376</v>
      </c>
    </row>
    <row r="181" spans="1:4" hidden="1" x14ac:dyDescent="0.35">
      <c r="A181" s="1">
        <v>7375</v>
      </c>
      <c r="B181" s="3">
        <v>46279.375</v>
      </c>
      <c r="C181" s="1" t="s">
        <v>34</v>
      </c>
      <c r="D181" s="1">
        <f>IFERROR(VLOOKUP(_2__Ferramental_AST[[#This Row],[ID]],CHECK_ACUM!A:A,1,0),"NOVO")</f>
        <v>7375</v>
      </c>
    </row>
    <row r="182" spans="1:4" hidden="1" x14ac:dyDescent="0.35">
      <c r="A182" s="1">
        <v>7374</v>
      </c>
      <c r="B182" s="3">
        <v>46279.374305555553</v>
      </c>
      <c r="C182" s="1" t="s">
        <v>34</v>
      </c>
      <c r="D182" s="1">
        <f>IFERROR(VLOOKUP(_2__Ferramental_AST[[#This Row],[ID]],CHECK_ACUM!A:A,1,0),"NOVO")</f>
        <v>7374</v>
      </c>
    </row>
    <row r="183" spans="1:4" hidden="1" x14ac:dyDescent="0.35">
      <c r="A183" s="1">
        <v>7373</v>
      </c>
      <c r="B183" s="3">
        <v>46279.372916666667</v>
      </c>
      <c r="C183" s="1" t="s">
        <v>34</v>
      </c>
      <c r="D183" s="1">
        <f>IFERROR(VLOOKUP(_2__Ferramental_AST[[#This Row],[ID]],CHECK_ACUM!A:A,1,0),"NOVO")</f>
        <v>7373</v>
      </c>
    </row>
    <row r="184" spans="1:4" hidden="1" x14ac:dyDescent="0.35">
      <c r="A184" s="1">
        <v>7372</v>
      </c>
      <c r="B184" s="3">
        <v>46276.71875</v>
      </c>
      <c r="C184" s="1" t="s">
        <v>9</v>
      </c>
      <c r="D184" s="1">
        <f>IFERROR(VLOOKUP(_2__Ferramental_AST[[#This Row],[ID]],CHECK_ACUM!A:A,1,0),"NOVO")</f>
        <v>7372</v>
      </c>
    </row>
    <row r="185" spans="1:4" hidden="1" x14ac:dyDescent="0.35">
      <c r="A185" s="1">
        <v>7371</v>
      </c>
      <c r="B185" s="3">
        <v>46276.709027777775</v>
      </c>
      <c r="C185" s="1" t="s">
        <v>28</v>
      </c>
      <c r="D185" s="1">
        <f>IFERROR(VLOOKUP(_2__Ferramental_AST[[#This Row],[ID]],CHECK_ACUM!A:A,1,0),"NOVO")</f>
        <v>7371</v>
      </c>
    </row>
    <row r="186" spans="1:4" hidden="1" x14ac:dyDescent="0.35">
      <c r="A186" s="1">
        <v>7370</v>
      </c>
      <c r="B186" s="3">
        <v>46276.708333333336</v>
      </c>
      <c r="C186" s="1" t="s">
        <v>28</v>
      </c>
      <c r="D186" s="1">
        <f>IFERROR(VLOOKUP(_2__Ferramental_AST[[#This Row],[ID]],CHECK_ACUM!A:A,1,0),"NOVO")</f>
        <v>7370</v>
      </c>
    </row>
    <row r="187" spans="1:4" hidden="1" x14ac:dyDescent="0.35">
      <c r="A187" s="1">
        <v>7369</v>
      </c>
      <c r="B187" s="3">
        <v>46276.696527777778</v>
      </c>
      <c r="C187" s="1" t="s">
        <v>24</v>
      </c>
      <c r="D187" s="1">
        <f>IFERROR(VLOOKUP(_2__Ferramental_AST[[#This Row],[ID]],CHECK_ACUM!A:A,1,0),"NOVO")</f>
        <v>7369</v>
      </c>
    </row>
    <row r="188" spans="1:4" hidden="1" x14ac:dyDescent="0.35">
      <c r="A188" s="1">
        <v>7368</v>
      </c>
      <c r="B188" s="3">
        <v>46276.618055555555</v>
      </c>
      <c r="C188" s="1" t="s">
        <v>3</v>
      </c>
      <c r="D188" s="1">
        <f>IFERROR(VLOOKUP(_2__Ferramental_AST[[#This Row],[ID]],CHECK_ACUM!A:A,1,0),"NOVO")</f>
        <v>7368</v>
      </c>
    </row>
    <row r="189" spans="1:4" hidden="1" x14ac:dyDescent="0.35">
      <c r="A189" s="1">
        <v>7367</v>
      </c>
      <c r="B189" s="3">
        <v>46276.578472222223</v>
      </c>
      <c r="C189" s="1" t="s">
        <v>3</v>
      </c>
      <c r="D189" s="1">
        <f>IFERROR(VLOOKUP(_2__Ferramental_AST[[#This Row],[ID]],CHECK_ACUM!A:A,1,0),"NOVO")</f>
        <v>7367</v>
      </c>
    </row>
    <row r="190" spans="1:4" hidden="1" x14ac:dyDescent="0.35">
      <c r="A190" s="1">
        <v>7365</v>
      </c>
      <c r="B190" s="3">
        <v>46275.713194444441</v>
      </c>
      <c r="C190" s="1" t="s">
        <v>5</v>
      </c>
      <c r="D190" s="1">
        <f>IFERROR(VLOOKUP(_2__Ferramental_AST[[#This Row],[ID]],CHECK_ACUM!A:A,1,0),"NOVO")</f>
        <v>7365</v>
      </c>
    </row>
    <row r="191" spans="1:4" hidden="1" x14ac:dyDescent="0.35">
      <c r="A191" s="1">
        <v>7364</v>
      </c>
      <c r="B191" s="3">
        <v>46275.710416666669</v>
      </c>
      <c r="C191" s="1" t="s">
        <v>5</v>
      </c>
      <c r="D191" s="1">
        <f>IFERROR(VLOOKUP(_2__Ferramental_AST[[#This Row],[ID]],CHECK_ACUM!A:A,1,0),"NOVO")</f>
        <v>7364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04"/>
  <sheetViews>
    <sheetView showGridLines="0" topLeftCell="A778" workbookViewId="0">
      <selection activeCell="A804" sqref="A804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287"/>
  <sheetViews>
    <sheetView showGridLines="0" workbookViewId="0">
      <selection sqref="A1:D128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01"/>
  <sheetViews>
    <sheetView showGridLines="0" topLeftCell="A1195" workbookViewId="0">
      <selection activeCell="C1217" sqref="C1217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27"/>
  <sheetViews>
    <sheetView showGridLines="0" topLeftCell="A202" workbookViewId="0">
      <selection activeCell="A227" sqref="A227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22"/>
  <sheetViews>
    <sheetView showGridLines="0" workbookViewId="0">
      <selection sqref="A1:D622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22"/>
  <sheetViews>
    <sheetView showGridLines="0" topLeftCell="A598" workbookViewId="0">
      <selection activeCell="A622" sqref="A622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58"/>
  <sheetViews>
    <sheetView showGridLines="0" topLeftCell="A3444" workbookViewId="0">
      <selection activeCell="A3457" sqref="A3457:B3458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78</v>
      </c>
    </row>
    <row r="5" spans="1:2" x14ac:dyDescent="0.35">
      <c r="A5" s="2">
        <v>45734</v>
      </c>
      <c r="B5" s="1" t="s">
        <v>78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76</v>
      </c>
    </row>
    <row r="10" spans="1:2" x14ac:dyDescent="0.35">
      <c r="A10" s="2">
        <v>45734</v>
      </c>
      <c r="B10" s="1" t="s">
        <v>76</v>
      </c>
    </row>
    <row r="11" spans="1:2" x14ac:dyDescent="0.35">
      <c r="A11" s="2">
        <v>45734</v>
      </c>
      <c r="B11" s="1" t="s">
        <v>79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79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80</v>
      </c>
    </row>
    <row r="20" spans="1:2" x14ac:dyDescent="0.35">
      <c r="A20" s="2">
        <v>45735</v>
      </c>
      <c r="B20" s="1" t="s">
        <v>80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76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76</v>
      </c>
    </row>
    <row r="25" spans="1:2" x14ac:dyDescent="0.35">
      <c r="A25" s="2">
        <v>45735</v>
      </c>
      <c r="B25" s="1" t="s">
        <v>76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68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76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79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79</v>
      </c>
    </row>
    <row r="39" spans="1:2" x14ac:dyDescent="0.35">
      <c r="A39" s="2">
        <v>45747</v>
      </c>
      <c r="B39" s="1" t="s">
        <v>79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79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76</v>
      </c>
    </row>
    <row r="44" spans="1:2" x14ac:dyDescent="0.35">
      <c r="A44" s="2">
        <v>45747</v>
      </c>
      <c r="B44" s="1" t="s">
        <v>76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76</v>
      </c>
    </row>
    <row r="47" spans="1:2" x14ac:dyDescent="0.35">
      <c r="A47" s="2">
        <v>45747</v>
      </c>
      <c r="B47" s="1" t="s">
        <v>76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79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80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76</v>
      </c>
    </row>
    <row r="62" spans="1:2" x14ac:dyDescent="0.35">
      <c r="A62" s="2">
        <v>45749</v>
      </c>
      <c r="B62" s="1" t="s">
        <v>76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28</v>
      </c>
    </row>
    <row r="82" spans="1:2" x14ac:dyDescent="0.35">
      <c r="A82" s="2">
        <v>45764</v>
      </c>
      <c r="B82" s="1" t="s">
        <v>81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24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68</v>
      </c>
    </row>
    <row r="90" spans="1:2" x14ac:dyDescent="0.35">
      <c r="A90" s="2">
        <v>45771</v>
      </c>
      <c r="B90" s="1" t="s">
        <v>77</v>
      </c>
    </row>
    <row r="91" spans="1:2" x14ac:dyDescent="0.35">
      <c r="A91" s="2">
        <v>45771</v>
      </c>
      <c r="B91" s="1" t="s">
        <v>32</v>
      </c>
    </row>
    <row r="92" spans="1:2" x14ac:dyDescent="0.35">
      <c r="A92" s="2">
        <v>45771</v>
      </c>
      <c r="B92" s="1" t="s">
        <v>77</v>
      </c>
    </row>
    <row r="93" spans="1:2" x14ac:dyDescent="0.35">
      <c r="A93" s="2">
        <v>45771</v>
      </c>
      <c r="B93" s="1" t="s">
        <v>28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68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24</v>
      </c>
    </row>
    <row r="98" spans="1:2" x14ac:dyDescent="0.35">
      <c r="A98" s="2">
        <v>45775</v>
      </c>
      <c r="B98" s="1" t="s">
        <v>68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68</v>
      </c>
    </row>
    <row r="101" spans="1:2" x14ac:dyDescent="0.35">
      <c r="A101" s="2">
        <v>45777</v>
      </c>
      <c r="B101" s="1" t="s">
        <v>24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68</v>
      </c>
    </row>
    <row r="107" spans="1:2" x14ac:dyDescent="0.35">
      <c r="A107" s="2">
        <v>45784</v>
      </c>
      <c r="B107" s="1" t="s">
        <v>24</v>
      </c>
    </row>
    <row r="108" spans="1:2" x14ac:dyDescent="0.35">
      <c r="A108" s="2">
        <v>45784</v>
      </c>
      <c r="B108" s="1" t="s">
        <v>68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24</v>
      </c>
    </row>
    <row r="111" spans="1:2" x14ac:dyDescent="0.35">
      <c r="A111" s="2">
        <v>45785</v>
      </c>
      <c r="B111" s="1" t="s">
        <v>24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68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68</v>
      </c>
    </row>
    <row r="118" spans="1:2" x14ac:dyDescent="0.35">
      <c r="A118" s="2">
        <v>45790</v>
      </c>
      <c r="B118" s="1" t="s">
        <v>68</v>
      </c>
    </row>
    <row r="119" spans="1:2" x14ac:dyDescent="0.35">
      <c r="A119" s="2">
        <v>45790</v>
      </c>
      <c r="B119" s="1" t="s">
        <v>77</v>
      </c>
    </row>
    <row r="120" spans="1:2" x14ac:dyDescent="0.35">
      <c r="A120" s="2">
        <v>45790</v>
      </c>
      <c r="B120" s="1" t="s">
        <v>77</v>
      </c>
    </row>
    <row r="121" spans="1:2" x14ac:dyDescent="0.35">
      <c r="A121" s="2">
        <v>45793</v>
      </c>
      <c r="B121" s="1" t="s">
        <v>82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68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24</v>
      </c>
    </row>
    <row r="127" spans="1:2" x14ac:dyDescent="0.35">
      <c r="A127" s="2">
        <v>45797</v>
      </c>
      <c r="B127" s="1" t="s">
        <v>24</v>
      </c>
    </row>
    <row r="128" spans="1:2" x14ac:dyDescent="0.35">
      <c r="A128" s="2">
        <v>45797</v>
      </c>
      <c r="B128" s="1" t="s">
        <v>24</v>
      </c>
    </row>
    <row r="129" spans="1:2" x14ac:dyDescent="0.35">
      <c r="A129" s="2">
        <v>45797</v>
      </c>
      <c r="B129" s="1" t="s">
        <v>68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28</v>
      </c>
    </row>
    <row r="132" spans="1:2" x14ac:dyDescent="0.35">
      <c r="A132" s="2">
        <v>45797</v>
      </c>
      <c r="B132" s="1" t="s">
        <v>28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32</v>
      </c>
    </row>
    <row r="140" spans="1:2" x14ac:dyDescent="0.35">
      <c r="A140" s="2">
        <v>45798</v>
      </c>
      <c r="B140" s="1" t="s">
        <v>82</v>
      </c>
    </row>
    <row r="141" spans="1:2" x14ac:dyDescent="0.35">
      <c r="A141" s="2">
        <v>45799</v>
      </c>
      <c r="B141" s="1" t="s">
        <v>24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68</v>
      </c>
    </row>
    <row r="144" spans="1:2" x14ac:dyDescent="0.35">
      <c r="A144" s="2">
        <v>45799</v>
      </c>
      <c r="B144" s="1" t="s">
        <v>77</v>
      </c>
    </row>
    <row r="145" spans="1:2" x14ac:dyDescent="0.35">
      <c r="A145" s="2">
        <v>45800</v>
      </c>
      <c r="B145" s="1" t="s">
        <v>24</v>
      </c>
    </row>
    <row r="146" spans="1:2" x14ac:dyDescent="0.35">
      <c r="A146" s="2">
        <v>45800</v>
      </c>
      <c r="B146" s="1" t="s">
        <v>24</v>
      </c>
    </row>
    <row r="147" spans="1:2" x14ac:dyDescent="0.35">
      <c r="A147" s="2">
        <v>45800</v>
      </c>
      <c r="B147" s="1" t="s">
        <v>24</v>
      </c>
    </row>
    <row r="148" spans="1:2" x14ac:dyDescent="0.35">
      <c r="A148" s="2">
        <v>45800</v>
      </c>
      <c r="B148" s="1" t="s">
        <v>77</v>
      </c>
    </row>
    <row r="149" spans="1:2" x14ac:dyDescent="0.35">
      <c r="A149" s="2">
        <v>45800</v>
      </c>
      <c r="B149" s="1" t="s">
        <v>68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68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24</v>
      </c>
    </row>
    <row r="157" spans="1:2" x14ac:dyDescent="0.35">
      <c r="A157" s="2">
        <v>45804</v>
      </c>
      <c r="B157" s="1" t="s">
        <v>68</v>
      </c>
    </row>
    <row r="158" spans="1:2" x14ac:dyDescent="0.35">
      <c r="A158" s="2">
        <v>45804</v>
      </c>
      <c r="B158" s="1" t="s">
        <v>77</v>
      </c>
    </row>
    <row r="159" spans="1:2" x14ac:dyDescent="0.35">
      <c r="A159" s="2">
        <v>45804</v>
      </c>
      <c r="B159" s="1" t="s">
        <v>24</v>
      </c>
    </row>
    <row r="160" spans="1:2" x14ac:dyDescent="0.35">
      <c r="A160" s="2">
        <v>45804</v>
      </c>
      <c r="B160" s="1" t="s">
        <v>24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28</v>
      </c>
    </row>
    <row r="163" spans="1:2" x14ac:dyDescent="0.35">
      <c r="A163" s="2">
        <v>45805</v>
      </c>
      <c r="B163" s="1" t="s">
        <v>24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81</v>
      </c>
    </row>
    <row r="166" spans="1:2" x14ac:dyDescent="0.35">
      <c r="A166" s="2">
        <v>45805</v>
      </c>
      <c r="B166" s="1" t="s">
        <v>81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68</v>
      </c>
    </row>
    <row r="169" spans="1:2" x14ac:dyDescent="0.35">
      <c r="A169" s="2">
        <v>45805</v>
      </c>
      <c r="B169" s="1" t="s">
        <v>68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24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76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77</v>
      </c>
    </row>
    <row r="183" spans="1:2" x14ac:dyDescent="0.35">
      <c r="A183" s="2">
        <v>45810</v>
      </c>
      <c r="B183" s="1" t="s">
        <v>24</v>
      </c>
    </row>
    <row r="184" spans="1:2" x14ac:dyDescent="0.35">
      <c r="A184" s="2">
        <v>45810</v>
      </c>
      <c r="B184" s="1" t="s">
        <v>24</v>
      </c>
    </row>
    <row r="185" spans="1:2" x14ac:dyDescent="0.35">
      <c r="A185" s="2">
        <v>45810</v>
      </c>
      <c r="B185" s="1" t="s">
        <v>24</v>
      </c>
    </row>
    <row r="186" spans="1:2" x14ac:dyDescent="0.35">
      <c r="A186" s="2">
        <v>45810</v>
      </c>
      <c r="B186" s="1" t="s">
        <v>81</v>
      </c>
    </row>
    <row r="187" spans="1:2" x14ac:dyDescent="0.35">
      <c r="A187" s="2">
        <v>45810</v>
      </c>
      <c r="B187" s="1" t="s">
        <v>24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68</v>
      </c>
    </row>
    <row r="193" spans="1:2" x14ac:dyDescent="0.35">
      <c r="A193" s="2">
        <v>45810</v>
      </c>
      <c r="B193" s="1" t="s">
        <v>32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68</v>
      </c>
    </row>
    <row r="196" spans="1:2" x14ac:dyDescent="0.35">
      <c r="A196" s="2">
        <v>45810</v>
      </c>
      <c r="B196" s="1" t="s">
        <v>68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81</v>
      </c>
    </row>
    <row r="199" spans="1:2" x14ac:dyDescent="0.35">
      <c r="A199" s="2">
        <v>45810</v>
      </c>
      <c r="B199" s="1" t="s">
        <v>32</v>
      </c>
    </row>
    <row r="200" spans="1:2" x14ac:dyDescent="0.35">
      <c r="A200" s="2">
        <v>45810</v>
      </c>
      <c r="B200" s="1" t="s">
        <v>77</v>
      </c>
    </row>
    <row r="201" spans="1:2" x14ac:dyDescent="0.35">
      <c r="A201" s="2">
        <v>45810</v>
      </c>
      <c r="B201" s="1" t="s">
        <v>28</v>
      </c>
    </row>
    <row r="202" spans="1:2" x14ac:dyDescent="0.35">
      <c r="A202" s="2">
        <v>45810</v>
      </c>
      <c r="B202" s="1" t="s">
        <v>28</v>
      </c>
    </row>
    <row r="203" spans="1:2" x14ac:dyDescent="0.35">
      <c r="A203" s="2">
        <v>45810</v>
      </c>
      <c r="B203" s="1" t="s">
        <v>28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24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24</v>
      </c>
    </row>
    <row r="212" spans="1:2" x14ac:dyDescent="0.35">
      <c r="A212" s="2">
        <v>45812</v>
      </c>
      <c r="B212" s="1" t="s">
        <v>24</v>
      </c>
    </row>
    <row r="213" spans="1:2" x14ac:dyDescent="0.35">
      <c r="A213" s="2">
        <v>45812</v>
      </c>
      <c r="B213" s="1" t="s">
        <v>24</v>
      </c>
    </row>
    <row r="214" spans="1:2" x14ac:dyDescent="0.35">
      <c r="A214" s="2">
        <v>45812</v>
      </c>
      <c r="B214" s="1" t="s">
        <v>24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68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68</v>
      </c>
    </row>
    <row r="221" spans="1:2" x14ac:dyDescent="0.35">
      <c r="A221" s="2">
        <v>45812</v>
      </c>
      <c r="B221" s="1" t="s">
        <v>68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24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68</v>
      </c>
    </row>
    <row r="226" spans="1:2" x14ac:dyDescent="0.35">
      <c r="A226" s="2">
        <v>45812</v>
      </c>
      <c r="B226" s="1" t="s">
        <v>68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32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24</v>
      </c>
    </row>
    <row r="234" spans="1:2" x14ac:dyDescent="0.35">
      <c r="A234" s="2">
        <v>45813</v>
      </c>
      <c r="B234" s="1" t="s">
        <v>24</v>
      </c>
    </row>
    <row r="235" spans="1:2" x14ac:dyDescent="0.35">
      <c r="A235" s="2">
        <v>45813</v>
      </c>
      <c r="B235" s="1" t="s">
        <v>68</v>
      </c>
    </row>
    <row r="236" spans="1:2" x14ac:dyDescent="0.35">
      <c r="A236" s="2">
        <v>45813</v>
      </c>
      <c r="B236" s="1" t="s">
        <v>77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24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24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24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68</v>
      </c>
    </row>
    <row r="249" spans="1:2" x14ac:dyDescent="0.35">
      <c r="A249" s="2">
        <v>45814</v>
      </c>
      <c r="B249" s="1" t="s">
        <v>68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68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24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24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68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24</v>
      </c>
    </row>
    <row r="266" spans="1:2" x14ac:dyDescent="0.35">
      <c r="A266" s="2">
        <v>45817</v>
      </c>
      <c r="B266" s="1" t="s">
        <v>24</v>
      </c>
    </row>
    <row r="267" spans="1:2" x14ac:dyDescent="0.35">
      <c r="A267" s="2">
        <v>45817</v>
      </c>
      <c r="B267" s="1" t="s">
        <v>32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68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32</v>
      </c>
    </row>
    <row r="275" spans="1:2" x14ac:dyDescent="0.35">
      <c r="A275" s="2">
        <v>45817</v>
      </c>
      <c r="B275" s="1" t="s">
        <v>68</v>
      </c>
    </row>
    <row r="276" spans="1:2" x14ac:dyDescent="0.35">
      <c r="A276" s="2">
        <v>45817</v>
      </c>
      <c r="B276" s="1" t="s">
        <v>32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24</v>
      </c>
    </row>
    <row r="283" spans="1:2" x14ac:dyDescent="0.35">
      <c r="A283" s="2">
        <v>45818</v>
      </c>
      <c r="B283" s="1" t="s">
        <v>68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24</v>
      </c>
    </row>
    <row r="286" spans="1:2" x14ac:dyDescent="0.35">
      <c r="A286" s="2">
        <v>45818</v>
      </c>
      <c r="B286" s="1" t="s">
        <v>68</v>
      </c>
    </row>
    <row r="287" spans="1:2" x14ac:dyDescent="0.35">
      <c r="A287" s="2">
        <v>45819</v>
      </c>
      <c r="B287" s="1" t="s">
        <v>81</v>
      </c>
    </row>
    <row r="288" spans="1:2" x14ac:dyDescent="0.35">
      <c r="A288" s="2">
        <v>45819</v>
      </c>
      <c r="B288" s="1" t="s">
        <v>68</v>
      </c>
    </row>
    <row r="289" spans="1:2" x14ac:dyDescent="0.35">
      <c r="A289" s="2">
        <v>45819</v>
      </c>
      <c r="B289" s="1" t="s">
        <v>24</v>
      </c>
    </row>
    <row r="290" spans="1:2" x14ac:dyDescent="0.35">
      <c r="A290" s="2">
        <v>45819</v>
      </c>
      <c r="B290" s="1" t="s">
        <v>68</v>
      </c>
    </row>
    <row r="291" spans="1:2" x14ac:dyDescent="0.35">
      <c r="A291" s="2">
        <v>45819</v>
      </c>
      <c r="B291" s="1" t="s">
        <v>24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32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32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32</v>
      </c>
    </row>
    <row r="304" spans="1:2" x14ac:dyDescent="0.35">
      <c r="A304" s="2">
        <v>45820</v>
      </c>
      <c r="B304" s="1" t="s">
        <v>24</v>
      </c>
    </row>
    <row r="305" spans="1:2" x14ac:dyDescent="0.35">
      <c r="A305" s="2">
        <v>45820</v>
      </c>
      <c r="B305" s="1" t="s">
        <v>24</v>
      </c>
    </row>
    <row r="306" spans="1:2" x14ac:dyDescent="0.35">
      <c r="A306" s="2">
        <v>45820</v>
      </c>
      <c r="B306" s="1" t="s">
        <v>24</v>
      </c>
    </row>
    <row r="307" spans="1:2" x14ac:dyDescent="0.35">
      <c r="A307" s="2">
        <v>45820</v>
      </c>
      <c r="B307" s="1" t="s">
        <v>68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32</v>
      </c>
    </row>
    <row r="312" spans="1:2" x14ac:dyDescent="0.35">
      <c r="A312" s="2">
        <v>45820</v>
      </c>
      <c r="B312" s="1" t="s">
        <v>32</v>
      </c>
    </row>
    <row r="313" spans="1:2" x14ac:dyDescent="0.35">
      <c r="A313" s="2">
        <v>45820</v>
      </c>
      <c r="B313" s="1" t="s">
        <v>32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24</v>
      </c>
    </row>
    <row r="322" spans="1:2" x14ac:dyDescent="0.35">
      <c r="A322" s="2">
        <v>45824</v>
      </c>
      <c r="B322" s="1" t="s">
        <v>24</v>
      </c>
    </row>
    <row r="323" spans="1:2" x14ac:dyDescent="0.35">
      <c r="A323" s="2">
        <v>45824</v>
      </c>
      <c r="B323" s="1" t="s">
        <v>68</v>
      </c>
    </row>
    <row r="324" spans="1:2" x14ac:dyDescent="0.35">
      <c r="A324" s="2">
        <v>45824</v>
      </c>
      <c r="B324" s="1" t="s">
        <v>68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24</v>
      </c>
    </row>
    <row r="355" spans="1:2" x14ac:dyDescent="0.35">
      <c r="A355" s="2">
        <v>45839</v>
      </c>
      <c r="B355" s="1" t="s">
        <v>24</v>
      </c>
    </row>
    <row r="356" spans="1:2" x14ac:dyDescent="0.35">
      <c r="A356" s="2">
        <v>45839</v>
      </c>
      <c r="B356" s="1" t="s">
        <v>24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32</v>
      </c>
    </row>
    <row r="362" spans="1:2" x14ac:dyDescent="0.35">
      <c r="A362" s="2">
        <v>45839</v>
      </c>
      <c r="B362" s="1" t="s">
        <v>32</v>
      </c>
    </row>
    <row r="363" spans="1:2" x14ac:dyDescent="0.35">
      <c r="A363" s="2">
        <v>45839</v>
      </c>
      <c r="B363" s="1" t="s">
        <v>32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74</v>
      </c>
    </row>
    <row r="369" spans="1:2" x14ac:dyDescent="0.35">
      <c r="A369" s="2">
        <v>45840</v>
      </c>
      <c r="B369" s="1" t="s">
        <v>74</v>
      </c>
    </row>
    <row r="370" spans="1:2" x14ac:dyDescent="0.35">
      <c r="A370" s="2">
        <v>45840</v>
      </c>
      <c r="B370" s="1" t="s">
        <v>74</v>
      </c>
    </row>
    <row r="371" spans="1:2" x14ac:dyDescent="0.35">
      <c r="A371" s="2">
        <v>45840</v>
      </c>
      <c r="B371" s="1" t="s">
        <v>74</v>
      </c>
    </row>
    <row r="372" spans="1:2" x14ac:dyDescent="0.35">
      <c r="A372" s="2">
        <v>45840</v>
      </c>
      <c r="B372" s="1" t="s">
        <v>74</v>
      </c>
    </row>
    <row r="373" spans="1:2" x14ac:dyDescent="0.35">
      <c r="A373" s="2">
        <v>45840</v>
      </c>
      <c r="B373" s="1" t="s">
        <v>28</v>
      </c>
    </row>
    <row r="374" spans="1:2" x14ac:dyDescent="0.35">
      <c r="A374" s="2">
        <v>45840</v>
      </c>
      <c r="B374" s="1" t="s">
        <v>28</v>
      </c>
    </row>
    <row r="375" spans="1:2" x14ac:dyDescent="0.35">
      <c r="A375" s="2">
        <v>45840</v>
      </c>
      <c r="B375" s="1" t="s">
        <v>28</v>
      </c>
    </row>
    <row r="376" spans="1:2" x14ac:dyDescent="0.35">
      <c r="A376" s="2">
        <v>45840</v>
      </c>
      <c r="B376" s="1" t="s">
        <v>28</v>
      </c>
    </row>
    <row r="377" spans="1:2" x14ac:dyDescent="0.35">
      <c r="A377" s="2">
        <v>45840</v>
      </c>
      <c r="B377" s="1" t="s">
        <v>28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24</v>
      </c>
    </row>
    <row r="382" spans="1:2" x14ac:dyDescent="0.35">
      <c r="A382" s="2">
        <v>45845</v>
      </c>
      <c r="B382" s="1" t="s">
        <v>24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77</v>
      </c>
    </row>
    <row r="385" spans="1:2" x14ac:dyDescent="0.35">
      <c r="A385" s="2">
        <v>45845</v>
      </c>
      <c r="B385" s="1" t="s">
        <v>77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68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68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68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24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68</v>
      </c>
    </row>
    <row r="426" spans="1:2" x14ac:dyDescent="0.35">
      <c r="A426" s="2">
        <v>45850</v>
      </c>
      <c r="B426" s="1" t="s">
        <v>68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68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24</v>
      </c>
    </row>
    <row r="432" spans="1:2" x14ac:dyDescent="0.35">
      <c r="A432" s="2">
        <v>45850</v>
      </c>
      <c r="B432" s="1" t="s">
        <v>24</v>
      </c>
    </row>
    <row r="433" spans="1:2" x14ac:dyDescent="0.35">
      <c r="A433" s="2">
        <v>45850</v>
      </c>
      <c r="B433" s="1" t="s">
        <v>24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32</v>
      </c>
    </row>
    <row r="439" spans="1:2" x14ac:dyDescent="0.35">
      <c r="A439" s="2">
        <v>45852</v>
      </c>
      <c r="B439" s="1" t="s">
        <v>24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24</v>
      </c>
    </row>
    <row r="443" spans="1:2" x14ac:dyDescent="0.35">
      <c r="A443" s="2">
        <v>45852</v>
      </c>
      <c r="B443" s="1" t="s">
        <v>24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32</v>
      </c>
    </row>
    <row r="446" spans="1:2" x14ac:dyDescent="0.35">
      <c r="A446" s="2">
        <v>45852</v>
      </c>
      <c r="B446" s="1" t="s">
        <v>32</v>
      </c>
    </row>
    <row r="447" spans="1:2" x14ac:dyDescent="0.35">
      <c r="A447" s="2">
        <v>45852</v>
      </c>
      <c r="B447" s="1" t="s">
        <v>28</v>
      </c>
    </row>
    <row r="448" spans="1:2" x14ac:dyDescent="0.35">
      <c r="A448" s="2">
        <v>45852</v>
      </c>
      <c r="B448" s="1" t="s">
        <v>28</v>
      </c>
    </row>
    <row r="449" spans="1:2" x14ac:dyDescent="0.35">
      <c r="A449" s="2">
        <v>45852</v>
      </c>
      <c r="B449" s="1" t="s">
        <v>32</v>
      </c>
    </row>
    <row r="450" spans="1:2" x14ac:dyDescent="0.35">
      <c r="A450" s="2">
        <v>45852</v>
      </c>
      <c r="B450" s="1" t="s">
        <v>32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32</v>
      </c>
    </row>
    <row r="453" spans="1:2" x14ac:dyDescent="0.35">
      <c r="A453" s="2">
        <v>45852</v>
      </c>
      <c r="B453" s="1" t="s">
        <v>68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68</v>
      </c>
    </row>
    <row r="457" spans="1:2" x14ac:dyDescent="0.35">
      <c r="A457" s="2">
        <v>45852</v>
      </c>
      <c r="B457" s="1" t="s">
        <v>68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24</v>
      </c>
    </row>
    <row r="462" spans="1:2" x14ac:dyDescent="0.35">
      <c r="A462" s="2">
        <v>45852</v>
      </c>
      <c r="B462" s="1" t="s">
        <v>24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24</v>
      </c>
    </row>
    <row r="466" spans="1:2" x14ac:dyDescent="0.35">
      <c r="A466" s="2">
        <v>45852</v>
      </c>
      <c r="B466" s="1" t="s">
        <v>24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68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28</v>
      </c>
    </row>
    <row r="472" spans="1:2" x14ac:dyDescent="0.35">
      <c r="A472" s="2">
        <v>45853</v>
      </c>
      <c r="B472" s="1" t="s">
        <v>28</v>
      </c>
    </row>
    <row r="473" spans="1:2" x14ac:dyDescent="0.35">
      <c r="A473" s="2">
        <v>45853</v>
      </c>
      <c r="B473" s="1" t="s">
        <v>77</v>
      </c>
    </row>
    <row r="474" spans="1:2" x14ac:dyDescent="0.35">
      <c r="A474" s="2">
        <v>45853</v>
      </c>
      <c r="B474" s="1" t="s">
        <v>77</v>
      </c>
    </row>
    <row r="475" spans="1:2" x14ac:dyDescent="0.35">
      <c r="A475" s="2">
        <v>45853</v>
      </c>
      <c r="B475" s="1" t="s">
        <v>68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32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77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50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50</v>
      </c>
    </row>
    <row r="489" spans="1:2" x14ac:dyDescent="0.35">
      <c r="A489" s="2">
        <v>45855</v>
      </c>
      <c r="B489" s="1" t="s">
        <v>77</v>
      </c>
    </row>
    <row r="490" spans="1:2" x14ac:dyDescent="0.35">
      <c r="A490" s="2">
        <v>45855</v>
      </c>
      <c r="B490" s="1" t="s">
        <v>77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32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68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28</v>
      </c>
    </row>
    <row r="501" spans="1:2" x14ac:dyDescent="0.35">
      <c r="A501" s="2">
        <v>45859</v>
      </c>
      <c r="B501" s="1" t="s">
        <v>68</v>
      </c>
    </row>
    <row r="502" spans="1:2" x14ac:dyDescent="0.35">
      <c r="A502" s="2">
        <v>45859</v>
      </c>
      <c r="B502" s="1" t="s">
        <v>24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24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50</v>
      </c>
    </row>
    <row r="508" spans="1:2" x14ac:dyDescent="0.35">
      <c r="A508" s="2">
        <v>45859</v>
      </c>
      <c r="B508" s="1" t="s">
        <v>50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50</v>
      </c>
    </row>
    <row r="511" spans="1:2" x14ac:dyDescent="0.35">
      <c r="A511" s="2">
        <v>45861</v>
      </c>
      <c r="B511" s="1" t="s">
        <v>68</v>
      </c>
    </row>
    <row r="512" spans="1:2" x14ac:dyDescent="0.35">
      <c r="A512" s="2">
        <v>45862</v>
      </c>
      <c r="B512" s="1" t="s">
        <v>24</v>
      </c>
    </row>
    <row r="513" spans="1:2" x14ac:dyDescent="0.35">
      <c r="A513" s="2">
        <v>45862</v>
      </c>
      <c r="B513" s="1" t="s">
        <v>28</v>
      </c>
    </row>
    <row r="514" spans="1:2" x14ac:dyDescent="0.35">
      <c r="A514" s="2">
        <v>45862</v>
      </c>
      <c r="B514" s="1" t="s">
        <v>50</v>
      </c>
    </row>
    <row r="515" spans="1:2" x14ac:dyDescent="0.35">
      <c r="A515" s="2">
        <v>45864</v>
      </c>
      <c r="B515" s="1" t="s">
        <v>68</v>
      </c>
    </row>
    <row r="516" spans="1:2" x14ac:dyDescent="0.35">
      <c r="A516" s="2">
        <v>45864</v>
      </c>
      <c r="B516" s="1" t="s">
        <v>68</v>
      </c>
    </row>
    <row r="517" spans="1:2" x14ac:dyDescent="0.35">
      <c r="A517" s="2">
        <v>45864</v>
      </c>
      <c r="B517" s="1" t="s">
        <v>68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24</v>
      </c>
    </row>
    <row r="521" spans="1:2" x14ac:dyDescent="0.35">
      <c r="A521" s="2">
        <v>45864</v>
      </c>
      <c r="B521" s="1" t="s">
        <v>24</v>
      </c>
    </row>
    <row r="522" spans="1:2" x14ac:dyDescent="0.35">
      <c r="A522" s="2">
        <v>45864</v>
      </c>
      <c r="B522" s="1" t="s">
        <v>77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9</v>
      </c>
    </row>
    <row r="531" spans="1:2" x14ac:dyDescent="0.35">
      <c r="A531" s="2">
        <v>45868</v>
      </c>
      <c r="B531" s="1" t="s">
        <v>9</v>
      </c>
    </row>
    <row r="532" spans="1:2" x14ac:dyDescent="0.35">
      <c r="A532" s="2">
        <v>45868</v>
      </c>
      <c r="B532" s="1" t="s">
        <v>9</v>
      </c>
    </row>
    <row r="533" spans="1:2" x14ac:dyDescent="0.35">
      <c r="A533" s="2">
        <v>45868</v>
      </c>
      <c r="B533" s="1" t="s">
        <v>68</v>
      </c>
    </row>
    <row r="534" spans="1:2" x14ac:dyDescent="0.35">
      <c r="A534" s="2">
        <v>45868</v>
      </c>
      <c r="B534" s="1" t="s">
        <v>28</v>
      </c>
    </row>
    <row r="535" spans="1:2" x14ac:dyDescent="0.35">
      <c r="A535" s="2">
        <v>45868</v>
      </c>
      <c r="B535" s="1" t="s">
        <v>68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28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68</v>
      </c>
    </row>
    <row r="545" spans="1:2" x14ac:dyDescent="0.35">
      <c r="A545" s="2">
        <v>45869</v>
      </c>
      <c r="B545" s="1" t="s">
        <v>9</v>
      </c>
    </row>
    <row r="546" spans="1:2" x14ac:dyDescent="0.35">
      <c r="A546" s="2">
        <v>45869</v>
      </c>
      <c r="B546" s="1" t="s">
        <v>68</v>
      </c>
    </row>
    <row r="547" spans="1:2" x14ac:dyDescent="0.35">
      <c r="A547" s="2">
        <v>45869</v>
      </c>
      <c r="B547" s="1" t="s">
        <v>68</v>
      </c>
    </row>
    <row r="548" spans="1:2" x14ac:dyDescent="0.35">
      <c r="A548" s="2">
        <v>45869</v>
      </c>
      <c r="B548" s="1" t="s">
        <v>68</v>
      </c>
    </row>
    <row r="549" spans="1:2" x14ac:dyDescent="0.35">
      <c r="A549" s="2">
        <v>45869</v>
      </c>
      <c r="B549" s="1" t="s">
        <v>9</v>
      </c>
    </row>
    <row r="550" spans="1:2" x14ac:dyDescent="0.35">
      <c r="A550" s="2">
        <v>45869</v>
      </c>
      <c r="B550" s="1" t="s">
        <v>28</v>
      </c>
    </row>
    <row r="551" spans="1:2" x14ac:dyDescent="0.35">
      <c r="A551" s="2">
        <v>45869</v>
      </c>
      <c r="B551" s="1" t="s">
        <v>9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9</v>
      </c>
    </row>
    <row r="557" spans="1:2" x14ac:dyDescent="0.35">
      <c r="A557" s="2">
        <v>45870</v>
      </c>
      <c r="B557" s="1" t="s">
        <v>9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50</v>
      </c>
    </row>
    <row r="560" spans="1:2" x14ac:dyDescent="0.35">
      <c r="A560" s="2">
        <v>45870</v>
      </c>
      <c r="B560" s="1" t="s">
        <v>50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68</v>
      </c>
    </row>
    <row r="563" spans="1:2" x14ac:dyDescent="0.35">
      <c r="A563" s="2">
        <v>45870</v>
      </c>
      <c r="B563" s="1" t="s">
        <v>68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77</v>
      </c>
    </row>
    <row r="568" spans="1:2" x14ac:dyDescent="0.35">
      <c r="A568" s="2">
        <v>45870</v>
      </c>
      <c r="B568" s="1" t="s">
        <v>9</v>
      </c>
    </row>
    <row r="569" spans="1:2" x14ac:dyDescent="0.35">
      <c r="A569" s="2">
        <v>45870</v>
      </c>
      <c r="B569" s="1" t="s">
        <v>68</v>
      </c>
    </row>
    <row r="570" spans="1:2" x14ac:dyDescent="0.35">
      <c r="A570" s="2">
        <v>45870</v>
      </c>
      <c r="B570" s="1" t="s">
        <v>9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50</v>
      </c>
    </row>
    <row r="573" spans="1:2" x14ac:dyDescent="0.35">
      <c r="A573" s="2">
        <v>45870</v>
      </c>
      <c r="B573" s="1" t="s">
        <v>50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68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9</v>
      </c>
    </row>
    <row r="593" spans="1:2" x14ac:dyDescent="0.35">
      <c r="A593" s="2">
        <v>45876</v>
      </c>
      <c r="B593" s="1" t="s">
        <v>9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50</v>
      </c>
    </row>
    <row r="596" spans="1:2" x14ac:dyDescent="0.35">
      <c r="A596" s="2">
        <v>45876</v>
      </c>
      <c r="B596" s="1" t="s">
        <v>50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68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9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9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68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28</v>
      </c>
    </row>
    <row r="617" spans="1:2" x14ac:dyDescent="0.35">
      <c r="A617" s="2">
        <v>45882</v>
      </c>
      <c r="B617" s="1" t="s">
        <v>77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5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5</v>
      </c>
    </row>
    <row r="623" spans="1:2" x14ac:dyDescent="0.35">
      <c r="A623" s="2">
        <v>45882</v>
      </c>
      <c r="B623" s="1" t="s">
        <v>5</v>
      </c>
    </row>
    <row r="624" spans="1:2" x14ac:dyDescent="0.35">
      <c r="A624" s="2">
        <v>45882</v>
      </c>
      <c r="B624" s="1" t="s">
        <v>28</v>
      </c>
    </row>
    <row r="625" spans="1:2" x14ac:dyDescent="0.35">
      <c r="A625" s="2">
        <v>45882</v>
      </c>
      <c r="B625" s="1" t="s">
        <v>9</v>
      </c>
    </row>
    <row r="626" spans="1:2" x14ac:dyDescent="0.35">
      <c r="A626" s="2">
        <v>45882</v>
      </c>
      <c r="B626" s="1" t="s">
        <v>9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5</v>
      </c>
    </row>
    <row r="629" spans="1:2" x14ac:dyDescent="0.35">
      <c r="A629" s="2">
        <v>45883</v>
      </c>
      <c r="B629" s="1" t="s">
        <v>5</v>
      </c>
    </row>
    <row r="630" spans="1:2" x14ac:dyDescent="0.35">
      <c r="A630" s="2">
        <v>45883</v>
      </c>
      <c r="B630" s="1" t="s">
        <v>28</v>
      </c>
    </row>
    <row r="631" spans="1:2" x14ac:dyDescent="0.35">
      <c r="A631" s="2">
        <v>45883</v>
      </c>
      <c r="B631" s="1" t="s">
        <v>9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68</v>
      </c>
    </row>
    <row r="634" spans="1:2" x14ac:dyDescent="0.35">
      <c r="A634" s="2">
        <v>45883</v>
      </c>
      <c r="B634" s="1" t="s">
        <v>68</v>
      </c>
    </row>
    <row r="635" spans="1:2" x14ac:dyDescent="0.35">
      <c r="A635" s="2">
        <v>45883</v>
      </c>
      <c r="B635" s="1" t="s">
        <v>28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5</v>
      </c>
    </row>
    <row r="639" spans="1:2" x14ac:dyDescent="0.35">
      <c r="A639" s="2">
        <v>45883</v>
      </c>
      <c r="B639" s="1" t="s">
        <v>5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28</v>
      </c>
    </row>
    <row r="642" spans="1:2" x14ac:dyDescent="0.35">
      <c r="A642" s="2">
        <v>45884</v>
      </c>
      <c r="B642" s="1" t="s">
        <v>28</v>
      </c>
    </row>
    <row r="643" spans="1:2" x14ac:dyDescent="0.35">
      <c r="A643" s="2">
        <v>45884</v>
      </c>
      <c r="B643" s="1" t="s">
        <v>68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5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9</v>
      </c>
    </row>
    <row r="650" spans="1:2" x14ac:dyDescent="0.35">
      <c r="A650" s="2">
        <v>45884</v>
      </c>
      <c r="B650" s="1" t="s">
        <v>9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9</v>
      </c>
    </row>
    <row r="653" spans="1:2" x14ac:dyDescent="0.35">
      <c r="A653" s="2">
        <v>45887</v>
      </c>
      <c r="B653" s="1" t="s">
        <v>9</v>
      </c>
    </row>
    <row r="654" spans="1:2" x14ac:dyDescent="0.35">
      <c r="A654" s="2">
        <v>45887</v>
      </c>
      <c r="B654" s="1" t="s">
        <v>9</v>
      </c>
    </row>
    <row r="655" spans="1:2" x14ac:dyDescent="0.35">
      <c r="A655" s="2">
        <v>45887</v>
      </c>
      <c r="B655" s="1" t="s">
        <v>68</v>
      </c>
    </row>
    <row r="656" spans="1:2" x14ac:dyDescent="0.35">
      <c r="A656" s="2">
        <v>45887</v>
      </c>
      <c r="B656" s="1" t="s">
        <v>68</v>
      </c>
    </row>
    <row r="657" spans="1:2" x14ac:dyDescent="0.35">
      <c r="A657" s="2">
        <v>45887</v>
      </c>
      <c r="B657" s="1" t="s">
        <v>28</v>
      </c>
    </row>
    <row r="658" spans="1:2" x14ac:dyDescent="0.35">
      <c r="A658" s="2">
        <v>45887</v>
      </c>
      <c r="B658" s="1" t="s">
        <v>28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5</v>
      </c>
    </row>
    <row r="661" spans="1:2" x14ac:dyDescent="0.35">
      <c r="A661" s="2">
        <v>45887</v>
      </c>
      <c r="B661" s="1" t="s">
        <v>68</v>
      </c>
    </row>
    <row r="662" spans="1:2" x14ac:dyDescent="0.35">
      <c r="A662" s="2">
        <v>45888</v>
      </c>
      <c r="B662" s="1" t="s">
        <v>28</v>
      </c>
    </row>
    <row r="663" spans="1:2" x14ac:dyDescent="0.35">
      <c r="A663" s="2">
        <v>45888</v>
      </c>
      <c r="B663" s="1" t="s">
        <v>9</v>
      </c>
    </row>
    <row r="664" spans="1:2" x14ac:dyDescent="0.35">
      <c r="A664" s="2">
        <v>45888</v>
      </c>
      <c r="B664" s="1" t="s">
        <v>9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5</v>
      </c>
    </row>
    <row r="667" spans="1:2" x14ac:dyDescent="0.35">
      <c r="A667" s="2">
        <v>45888</v>
      </c>
      <c r="B667" s="1" t="s">
        <v>5</v>
      </c>
    </row>
    <row r="668" spans="1:2" x14ac:dyDescent="0.35">
      <c r="A668" s="2">
        <v>45888</v>
      </c>
      <c r="B668" s="1" t="s">
        <v>9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68</v>
      </c>
    </row>
    <row r="671" spans="1:2" x14ac:dyDescent="0.35">
      <c r="A671" s="2">
        <v>45889</v>
      </c>
      <c r="B671" s="1" t="s">
        <v>24</v>
      </c>
    </row>
    <row r="672" spans="1:2" x14ac:dyDescent="0.35">
      <c r="A672" s="2">
        <v>45889</v>
      </c>
      <c r="B672" s="1" t="s">
        <v>5</v>
      </c>
    </row>
    <row r="673" spans="1:2" x14ac:dyDescent="0.35">
      <c r="A673" s="2">
        <v>45889</v>
      </c>
      <c r="B673" s="1" t="s">
        <v>68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68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9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24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24</v>
      </c>
    </row>
    <row r="685" spans="1:2" x14ac:dyDescent="0.35">
      <c r="A685" s="2">
        <v>45890</v>
      </c>
      <c r="B685" s="1" t="s">
        <v>24</v>
      </c>
    </row>
    <row r="686" spans="1:2" x14ac:dyDescent="0.35">
      <c r="A686" s="2">
        <v>45890</v>
      </c>
      <c r="B686" s="1" t="s">
        <v>24</v>
      </c>
    </row>
    <row r="687" spans="1:2" x14ac:dyDescent="0.35">
      <c r="A687" s="2">
        <v>45890</v>
      </c>
      <c r="B687" s="1" t="s">
        <v>24</v>
      </c>
    </row>
    <row r="688" spans="1:2" x14ac:dyDescent="0.35">
      <c r="A688" s="2">
        <v>45890</v>
      </c>
      <c r="B688" s="1" t="s">
        <v>24</v>
      </c>
    </row>
    <row r="689" spans="1:2" x14ac:dyDescent="0.35">
      <c r="A689" s="2">
        <v>45890</v>
      </c>
      <c r="B689" s="1" t="s">
        <v>24</v>
      </c>
    </row>
    <row r="690" spans="1:2" x14ac:dyDescent="0.35">
      <c r="A690" s="2">
        <v>45890</v>
      </c>
      <c r="B690" s="1" t="s">
        <v>77</v>
      </c>
    </row>
    <row r="691" spans="1:2" x14ac:dyDescent="0.35">
      <c r="A691" s="2">
        <v>45890</v>
      </c>
      <c r="B691" s="1" t="s">
        <v>77</v>
      </c>
    </row>
    <row r="692" spans="1:2" x14ac:dyDescent="0.35">
      <c r="A692" s="2">
        <v>45890</v>
      </c>
      <c r="B692" s="1" t="s">
        <v>77</v>
      </c>
    </row>
    <row r="693" spans="1:2" x14ac:dyDescent="0.35">
      <c r="A693" s="2">
        <v>45890</v>
      </c>
      <c r="B693" s="1" t="s">
        <v>77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68</v>
      </c>
    </row>
    <row r="697" spans="1:2" x14ac:dyDescent="0.35">
      <c r="A697" s="2">
        <v>45890</v>
      </c>
      <c r="B697" s="1" t="s">
        <v>5</v>
      </c>
    </row>
    <row r="698" spans="1:2" x14ac:dyDescent="0.35">
      <c r="A698" s="2">
        <v>45890</v>
      </c>
      <c r="B698" s="1" t="s">
        <v>68</v>
      </c>
    </row>
    <row r="699" spans="1:2" x14ac:dyDescent="0.35">
      <c r="A699" s="2">
        <v>45890</v>
      </c>
      <c r="B699" s="1" t="s">
        <v>68</v>
      </c>
    </row>
    <row r="700" spans="1:2" x14ac:dyDescent="0.35">
      <c r="A700" s="2">
        <v>45890</v>
      </c>
      <c r="B700" s="1" t="s">
        <v>68</v>
      </c>
    </row>
    <row r="701" spans="1:2" x14ac:dyDescent="0.35">
      <c r="A701" s="2">
        <v>45890</v>
      </c>
      <c r="B701" s="1" t="s">
        <v>68</v>
      </c>
    </row>
    <row r="702" spans="1:2" x14ac:dyDescent="0.35">
      <c r="A702" s="2">
        <v>45890</v>
      </c>
      <c r="B702" s="1" t="s">
        <v>68</v>
      </c>
    </row>
    <row r="703" spans="1:2" x14ac:dyDescent="0.35">
      <c r="A703" s="2">
        <v>45890</v>
      </c>
      <c r="B703" s="1" t="s">
        <v>5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9</v>
      </c>
    </row>
    <row r="711" spans="1:2" x14ac:dyDescent="0.35">
      <c r="A711" s="2">
        <v>45891</v>
      </c>
      <c r="B711" s="1" t="s">
        <v>9</v>
      </c>
    </row>
    <row r="712" spans="1:2" x14ac:dyDescent="0.35">
      <c r="A712" s="2">
        <v>45891</v>
      </c>
      <c r="B712" s="1" t="s">
        <v>9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24</v>
      </c>
    </row>
    <row r="715" spans="1:2" x14ac:dyDescent="0.35">
      <c r="A715" s="2">
        <v>45891</v>
      </c>
      <c r="B715" s="1" t="s">
        <v>24</v>
      </c>
    </row>
    <row r="716" spans="1:2" x14ac:dyDescent="0.35">
      <c r="A716" s="2">
        <v>45891</v>
      </c>
      <c r="B716" s="1" t="s">
        <v>68</v>
      </c>
    </row>
    <row r="717" spans="1:2" x14ac:dyDescent="0.35">
      <c r="A717" s="2">
        <v>45891</v>
      </c>
      <c r="B717" s="1" t="s">
        <v>68</v>
      </c>
    </row>
    <row r="718" spans="1:2" x14ac:dyDescent="0.35">
      <c r="A718" s="2">
        <v>45891</v>
      </c>
      <c r="B718" s="1" t="s">
        <v>5</v>
      </c>
    </row>
    <row r="719" spans="1:2" x14ac:dyDescent="0.35">
      <c r="A719" s="2">
        <v>45891</v>
      </c>
      <c r="B719" s="1" t="s">
        <v>24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9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9</v>
      </c>
    </row>
    <row r="728" spans="1:2" x14ac:dyDescent="0.35">
      <c r="A728" s="2">
        <v>45891</v>
      </c>
      <c r="B728" s="1" t="s">
        <v>9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28</v>
      </c>
    </row>
    <row r="735" spans="1:2" x14ac:dyDescent="0.35">
      <c r="A735" s="2">
        <v>45894</v>
      </c>
      <c r="B735" s="1" t="s">
        <v>28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77</v>
      </c>
    </row>
    <row r="739" spans="1:2" x14ac:dyDescent="0.35">
      <c r="A739" s="2">
        <v>45894</v>
      </c>
      <c r="B739" s="1" t="s">
        <v>77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24</v>
      </c>
    </row>
    <row r="746" spans="1:2" x14ac:dyDescent="0.35">
      <c r="A746" s="2">
        <v>45895</v>
      </c>
      <c r="B746" s="1" t="s">
        <v>68</v>
      </c>
    </row>
    <row r="747" spans="1:2" x14ac:dyDescent="0.35">
      <c r="A747" s="2">
        <v>45896</v>
      </c>
      <c r="B747" s="1" t="s">
        <v>77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9</v>
      </c>
    </row>
    <row r="750" spans="1:2" x14ac:dyDescent="0.35">
      <c r="A750" s="2">
        <v>45896</v>
      </c>
      <c r="B750" s="1" t="s">
        <v>9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24</v>
      </c>
    </row>
    <row r="755" spans="1:2" x14ac:dyDescent="0.35">
      <c r="A755" s="2">
        <v>45896</v>
      </c>
      <c r="B755" s="1" t="s">
        <v>5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24</v>
      </c>
    </row>
    <row r="758" spans="1:2" x14ac:dyDescent="0.35">
      <c r="A758" s="2">
        <v>45896</v>
      </c>
      <c r="B758" s="1" t="s">
        <v>68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68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9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24</v>
      </c>
    </row>
    <row r="765" spans="1:2" x14ac:dyDescent="0.35">
      <c r="A765" s="2">
        <v>45897</v>
      </c>
      <c r="B765" s="1" t="s">
        <v>24</v>
      </c>
    </row>
    <row r="766" spans="1:2" x14ac:dyDescent="0.35">
      <c r="A766" s="2">
        <v>45897</v>
      </c>
      <c r="B766" s="1" t="s">
        <v>5</v>
      </c>
    </row>
    <row r="767" spans="1:2" x14ac:dyDescent="0.35">
      <c r="A767" s="2">
        <v>45897</v>
      </c>
      <c r="B767" s="1" t="s">
        <v>5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68</v>
      </c>
    </row>
    <row r="770" spans="1:2" x14ac:dyDescent="0.35">
      <c r="A770" s="2">
        <v>45897</v>
      </c>
      <c r="B770" s="1" t="s">
        <v>68</v>
      </c>
    </row>
    <row r="771" spans="1:2" x14ac:dyDescent="0.35">
      <c r="A771" s="2">
        <v>45898</v>
      </c>
      <c r="B771" s="1" t="s">
        <v>24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5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68</v>
      </c>
    </row>
    <row r="776" spans="1:2" x14ac:dyDescent="0.35">
      <c r="A776" s="2">
        <v>45898</v>
      </c>
      <c r="B776" s="1" t="s">
        <v>68</v>
      </c>
    </row>
    <row r="777" spans="1:2" x14ac:dyDescent="0.35">
      <c r="A777" s="2">
        <v>45898</v>
      </c>
      <c r="B777" s="1" t="s">
        <v>68</v>
      </c>
    </row>
    <row r="778" spans="1:2" x14ac:dyDescent="0.35">
      <c r="A778" s="2">
        <v>45898</v>
      </c>
      <c r="B778" s="1" t="s">
        <v>5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28</v>
      </c>
    </row>
    <row r="788" spans="1:2" x14ac:dyDescent="0.35">
      <c r="A788" s="2">
        <v>45902</v>
      </c>
      <c r="B788" s="1" t="s">
        <v>24</v>
      </c>
    </row>
    <row r="789" spans="1:2" x14ac:dyDescent="0.35">
      <c r="A789" s="2">
        <v>45902</v>
      </c>
      <c r="B789" s="1" t="s">
        <v>24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5</v>
      </c>
    </row>
    <row r="793" spans="1:2" x14ac:dyDescent="0.35">
      <c r="A793" s="2">
        <v>45902</v>
      </c>
      <c r="B793" s="1" t="s">
        <v>5</v>
      </c>
    </row>
    <row r="794" spans="1:2" x14ac:dyDescent="0.35">
      <c r="A794" s="2">
        <v>45902</v>
      </c>
      <c r="B794" s="1" t="s">
        <v>5</v>
      </c>
    </row>
    <row r="795" spans="1:2" x14ac:dyDescent="0.35">
      <c r="A795" s="2">
        <v>45903</v>
      </c>
      <c r="B795" s="1" t="s">
        <v>5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9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24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24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9</v>
      </c>
    </row>
    <row r="806" spans="1:2" x14ac:dyDescent="0.35">
      <c r="A806" s="2">
        <v>45905</v>
      </c>
      <c r="B806" s="1" t="s">
        <v>9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9</v>
      </c>
    </row>
    <row r="809" spans="1:2" x14ac:dyDescent="0.35">
      <c r="A809" s="2">
        <v>45908</v>
      </c>
      <c r="B809" s="1" t="s">
        <v>68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68</v>
      </c>
    </row>
    <row r="812" spans="1:2" x14ac:dyDescent="0.35">
      <c r="A812" s="2">
        <v>45908</v>
      </c>
      <c r="B812" s="1" t="s">
        <v>5</v>
      </c>
    </row>
    <row r="813" spans="1:2" x14ac:dyDescent="0.35">
      <c r="A813" s="2">
        <v>45908</v>
      </c>
      <c r="B813" s="1" t="s">
        <v>50</v>
      </c>
    </row>
    <row r="814" spans="1:2" x14ac:dyDescent="0.35">
      <c r="A814" s="2">
        <v>45908</v>
      </c>
      <c r="B814" s="1" t="s">
        <v>50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</v>
      </c>
    </row>
    <row r="817" spans="1:2" x14ac:dyDescent="0.35">
      <c r="A817" s="2">
        <v>45908</v>
      </c>
      <c r="B817" s="1" t="s">
        <v>9</v>
      </c>
    </row>
    <row r="818" spans="1:2" x14ac:dyDescent="0.35">
      <c r="A818" s="2">
        <v>45908</v>
      </c>
      <c r="B818" s="1" t="s">
        <v>9</v>
      </c>
    </row>
    <row r="819" spans="1:2" x14ac:dyDescent="0.35">
      <c r="A819" s="2">
        <v>45908</v>
      </c>
      <c r="B819" s="1" t="s">
        <v>24</v>
      </c>
    </row>
    <row r="820" spans="1:2" x14ac:dyDescent="0.35">
      <c r="A820" s="2">
        <v>45908</v>
      </c>
      <c r="B820" s="1" t="s">
        <v>9</v>
      </c>
    </row>
    <row r="821" spans="1:2" x14ac:dyDescent="0.35">
      <c r="A821" s="2">
        <v>45908</v>
      </c>
      <c r="B821" s="1" t="s">
        <v>24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5</v>
      </c>
    </row>
    <row r="824" spans="1:2" x14ac:dyDescent="0.35">
      <c r="A824" s="2">
        <v>45908</v>
      </c>
      <c r="B824" s="1" t="s">
        <v>5</v>
      </c>
    </row>
    <row r="825" spans="1:2" x14ac:dyDescent="0.35">
      <c r="A825" s="2">
        <v>45909</v>
      </c>
      <c r="B825" s="1" t="s">
        <v>9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9</v>
      </c>
    </row>
    <row r="828" spans="1:2" x14ac:dyDescent="0.35">
      <c r="A828" s="2">
        <v>45909</v>
      </c>
      <c r="B828" s="1" t="s">
        <v>9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77</v>
      </c>
    </row>
    <row r="831" spans="1:2" x14ac:dyDescent="0.35">
      <c r="A831" s="2">
        <v>45909</v>
      </c>
      <c r="B831" s="1" t="s">
        <v>77</v>
      </c>
    </row>
    <row r="832" spans="1:2" x14ac:dyDescent="0.35">
      <c r="A832" s="2">
        <v>45909</v>
      </c>
      <c r="B832" s="1" t="s">
        <v>68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5</v>
      </c>
    </row>
    <row r="837" spans="1:2" x14ac:dyDescent="0.35">
      <c r="A837" s="2">
        <v>45910</v>
      </c>
      <c r="B837" s="1" t="s">
        <v>5</v>
      </c>
    </row>
    <row r="838" spans="1:2" x14ac:dyDescent="0.35">
      <c r="A838" s="2">
        <v>45910</v>
      </c>
      <c r="B838" s="1" t="s">
        <v>77</v>
      </c>
    </row>
    <row r="839" spans="1:2" x14ac:dyDescent="0.35">
      <c r="A839" s="2">
        <v>45910</v>
      </c>
      <c r="B839" s="1" t="s">
        <v>9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9</v>
      </c>
    </row>
    <row r="842" spans="1:2" x14ac:dyDescent="0.35">
      <c r="A842" s="2">
        <v>45910</v>
      </c>
      <c r="B842" s="1" t="s">
        <v>9</v>
      </c>
    </row>
    <row r="843" spans="1:2" x14ac:dyDescent="0.35">
      <c r="A843" s="2">
        <v>45910</v>
      </c>
      <c r="B843" s="1" t="s">
        <v>68</v>
      </c>
    </row>
    <row r="844" spans="1:2" x14ac:dyDescent="0.35">
      <c r="A844" s="2">
        <v>45910</v>
      </c>
      <c r="B844" s="1" t="s">
        <v>77</v>
      </c>
    </row>
    <row r="845" spans="1:2" x14ac:dyDescent="0.35">
      <c r="A845" s="2">
        <v>45910</v>
      </c>
      <c r="B845" s="1" t="s">
        <v>77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77</v>
      </c>
    </row>
    <row r="849" spans="1:2" x14ac:dyDescent="0.35">
      <c r="A849" s="2">
        <v>45911</v>
      </c>
      <c r="B849" s="1" t="s">
        <v>77</v>
      </c>
    </row>
    <row r="850" spans="1:2" x14ac:dyDescent="0.35">
      <c r="A850" s="2">
        <v>45911</v>
      </c>
      <c r="B850" s="1" t="s">
        <v>77</v>
      </c>
    </row>
    <row r="851" spans="1:2" x14ac:dyDescent="0.35">
      <c r="A851" s="2">
        <v>45911</v>
      </c>
      <c r="B851" s="1" t="s">
        <v>77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5</v>
      </c>
    </row>
    <row r="855" spans="1:2" x14ac:dyDescent="0.35">
      <c r="A855" s="2">
        <v>45911</v>
      </c>
      <c r="B855" s="1" t="s">
        <v>5</v>
      </c>
    </row>
    <row r="856" spans="1:2" x14ac:dyDescent="0.35">
      <c r="A856" s="2">
        <v>45911</v>
      </c>
      <c r="B856" s="1" t="s">
        <v>9</v>
      </c>
    </row>
    <row r="857" spans="1:2" x14ac:dyDescent="0.35">
      <c r="A857" s="2">
        <v>45911</v>
      </c>
      <c r="B857" s="1" t="s">
        <v>50</v>
      </c>
    </row>
    <row r="858" spans="1:2" x14ac:dyDescent="0.35">
      <c r="A858" s="2">
        <v>45911</v>
      </c>
      <c r="B858" s="1" t="s">
        <v>50</v>
      </c>
    </row>
    <row r="859" spans="1:2" x14ac:dyDescent="0.35">
      <c r="A859" s="2">
        <v>45911</v>
      </c>
      <c r="B859" s="1" t="s">
        <v>50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77</v>
      </c>
    </row>
    <row r="862" spans="1:2" x14ac:dyDescent="0.35">
      <c r="A862" s="2">
        <v>45912</v>
      </c>
      <c r="B862" s="1" t="s">
        <v>33</v>
      </c>
    </row>
    <row r="863" spans="1:2" x14ac:dyDescent="0.35">
      <c r="A863" s="2">
        <v>45912</v>
      </c>
      <c r="B863" s="1" t="s">
        <v>33</v>
      </c>
    </row>
    <row r="864" spans="1:2" x14ac:dyDescent="0.35">
      <c r="A864" s="2">
        <v>45912</v>
      </c>
      <c r="B864" s="1" t="s">
        <v>33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33</v>
      </c>
    </row>
    <row r="867" spans="1:2" x14ac:dyDescent="0.35">
      <c r="A867" s="2">
        <v>45912</v>
      </c>
      <c r="B867" s="1" t="s">
        <v>9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77</v>
      </c>
    </row>
    <row r="871" spans="1:2" x14ac:dyDescent="0.35">
      <c r="A871" s="2">
        <v>45912</v>
      </c>
      <c r="B871" s="1" t="s">
        <v>9</v>
      </c>
    </row>
    <row r="872" spans="1:2" x14ac:dyDescent="0.35">
      <c r="A872" s="2">
        <v>45912</v>
      </c>
      <c r="B872" s="1" t="s">
        <v>9</v>
      </c>
    </row>
    <row r="873" spans="1:2" x14ac:dyDescent="0.35">
      <c r="A873" s="2">
        <v>45912</v>
      </c>
      <c r="B873" s="1" t="s">
        <v>50</v>
      </c>
    </row>
    <row r="874" spans="1:2" x14ac:dyDescent="0.35">
      <c r="A874" s="2">
        <v>45912</v>
      </c>
      <c r="B874" s="1" t="s">
        <v>5</v>
      </c>
    </row>
    <row r="875" spans="1:2" x14ac:dyDescent="0.35">
      <c r="A875" s="2">
        <v>45912</v>
      </c>
      <c r="B875" s="1" t="s">
        <v>50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5</v>
      </c>
    </row>
    <row r="879" spans="1:2" x14ac:dyDescent="0.35">
      <c r="A879" s="2">
        <v>45913</v>
      </c>
      <c r="B879" s="1" t="s">
        <v>5</v>
      </c>
    </row>
    <row r="880" spans="1:2" x14ac:dyDescent="0.35">
      <c r="A880" s="2">
        <v>45913</v>
      </c>
      <c r="B880" s="1" t="s">
        <v>50</v>
      </c>
    </row>
    <row r="881" spans="1:2" x14ac:dyDescent="0.35">
      <c r="A881" s="2">
        <v>45913</v>
      </c>
      <c r="B881" s="1" t="s">
        <v>9</v>
      </c>
    </row>
    <row r="882" spans="1:2" x14ac:dyDescent="0.35">
      <c r="A882" s="2">
        <v>45913</v>
      </c>
      <c r="B882" s="1" t="s">
        <v>68</v>
      </c>
    </row>
    <row r="883" spans="1:2" x14ac:dyDescent="0.35">
      <c r="A883" s="2">
        <v>45913</v>
      </c>
      <c r="B883" s="1" t="s">
        <v>68</v>
      </c>
    </row>
    <row r="884" spans="1:2" x14ac:dyDescent="0.35">
      <c r="A884" s="2">
        <v>45913</v>
      </c>
      <c r="B884" s="1" t="s">
        <v>68</v>
      </c>
    </row>
    <row r="885" spans="1:2" x14ac:dyDescent="0.35">
      <c r="A885" s="2">
        <v>45913</v>
      </c>
      <c r="B885" s="1" t="s">
        <v>5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9</v>
      </c>
    </row>
    <row r="888" spans="1:2" x14ac:dyDescent="0.35">
      <c r="A888" s="2">
        <v>45916</v>
      </c>
      <c r="B888" s="1" t="s">
        <v>50</v>
      </c>
    </row>
    <row r="889" spans="1:2" x14ac:dyDescent="0.35">
      <c r="A889" s="2">
        <v>45916</v>
      </c>
      <c r="B889" s="1" t="s">
        <v>33</v>
      </c>
    </row>
    <row r="890" spans="1:2" x14ac:dyDescent="0.35">
      <c r="A890" s="2">
        <v>45916</v>
      </c>
      <c r="B890" s="1" t="s">
        <v>33</v>
      </c>
    </row>
    <row r="891" spans="1:2" x14ac:dyDescent="0.35">
      <c r="A891" s="2">
        <v>45916</v>
      </c>
      <c r="B891" s="1" t="s">
        <v>33</v>
      </c>
    </row>
    <row r="892" spans="1:2" x14ac:dyDescent="0.35">
      <c r="A892" s="2">
        <v>45916</v>
      </c>
      <c r="B892" s="1" t="s">
        <v>5</v>
      </c>
    </row>
    <row r="893" spans="1:2" x14ac:dyDescent="0.35">
      <c r="A893" s="2">
        <v>45916</v>
      </c>
      <c r="B893" s="1" t="s">
        <v>5</v>
      </c>
    </row>
    <row r="894" spans="1:2" x14ac:dyDescent="0.35">
      <c r="A894" s="2">
        <v>45916</v>
      </c>
      <c r="B894" s="1" t="s">
        <v>5</v>
      </c>
    </row>
    <row r="895" spans="1:2" x14ac:dyDescent="0.35">
      <c r="A895" s="2">
        <v>45917</v>
      </c>
      <c r="B895" s="1" t="s">
        <v>5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9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33</v>
      </c>
    </row>
    <row r="901" spans="1:2" x14ac:dyDescent="0.35">
      <c r="A901" s="2">
        <v>45917</v>
      </c>
      <c r="B901" s="1" t="s">
        <v>33</v>
      </c>
    </row>
    <row r="902" spans="1:2" x14ac:dyDescent="0.35">
      <c r="A902" s="2">
        <v>45917</v>
      </c>
      <c r="B902" s="1" t="s">
        <v>33</v>
      </c>
    </row>
    <row r="903" spans="1:2" x14ac:dyDescent="0.35">
      <c r="A903" s="2">
        <v>45917</v>
      </c>
      <c r="B903" s="1" t="s">
        <v>9</v>
      </c>
    </row>
    <row r="904" spans="1:2" x14ac:dyDescent="0.35">
      <c r="A904" s="2">
        <v>45917</v>
      </c>
      <c r="B904" s="1" t="s">
        <v>9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9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68</v>
      </c>
    </row>
    <row r="912" spans="1:2" x14ac:dyDescent="0.35">
      <c r="A912" s="2">
        <v>45918</v>
      </c>
      <c r="B912" s="1" t="s">
        <v>5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68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33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5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5</v>
      </c>
    </row>
    <row r="929" spans="1:2" x14ac:dyDescent="0.35">
      <c r="A929" s="2">
        <v>45922</v>
      </c>
      <c r="B929" s="1" t="s">
        <v>9</v>
      </c>
    </row>
    <row r="930" spans="1:2" x14ac:dyDescent="0.35">
      <c r="A930" s="2">
        <v>45922</v>
      </c>
      <c r="B930" s="1" t="s">
        <v>33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9</v>
      </c>
    </row>
    <row r="936" spans="1:2" x14ac:dyDescent="0.35">
      <c r="A936" s="2">
        <v>45923</v>
      </c>
      <c r="B936" s="1" t="s">
        <v>9</v>
      </c>
    </row>
    <row r="937" spans="1:2" x14ac:dyDescent="0.35">
      <c r="A937" s="2">
        <v>45923</v>
      </c>
      <c r="B937" s="1" t="s">
        <v>9</v>
      </c>
    </row>
    <row r="938" spans="1:2" x14ac:dyDescent="0.35">
      <c r="A938" s="2">
        <v>45923</v>
      </c>
      <c r="B938" s="1" t="s">
        <v>9</v>
      </c>
    </row>
    <row r="939" spans="1:2" x14ac:dyDescent="0.35">
      <c r="A939" s="2">
        <v>45923</v>
      </c>
      <c r="B939" s="1" t="s">
        <v>9</v>
      </c>
    </row>
    <row r="940" spans="1:2" x14ac:dyDescent="0.35">
      <c r="A940" s="2">
        <v>45923</v>
      </c>
      <c r="B940" s="1" t="s">
        <v>9</v>
      </c>
    </row>
    <row r="941" spans="1:2" x14ac:dyDescent="0.35">
      <c r="A941" s="2">
        <v>45923</v>
      </c>
      <c r="B941" s="1" t="s">
        <v>9</v>
      </c>
    </row>
    <row r="942" spans="1:2" x14ac:dyDescent="0.35">
      <c r="A942" s="2">
        <v>45923</v>
      </c>
      <c r="B942" s="1" t="s">
        <v>9</v>
      </c>
    </row>
    <row r="943" spans="1:2" x14ac:dyDescent="0.35">
      <c r="A943" s="2">
        <v>45923</v>
      </c>
      <c r="B943" s="1" t="s">
        <v>68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33</v>
      </c>
    </row>
    <row r="946" spans="1:2" x14ac:dyDescent="0.35">
      <c r="A946" s="2">
        <v>45923</v>
      </c>
      <c r="B946" s="1" t="s">
        <v>33</v>
      </c>
    </row>
    <row r="947" spans="1:2" x14ac:dyDescent="0.35">
      <c r="A947" s="2">
        <v>45923</v>
      </c>
      <c r="B947" s="1" t="s">
        <v>50</v>
      </c>
    </row>
    <row r="948" spans="1:2" x14ac:dyDescent="0.35">
      <c r="A948" s="2">
        <v>45923</v>
      </c>
      <c r="B948" s="1" t="s">
        <v>68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68</v>
      </c>
    </row>
    <row r="951" spans="1:2" x14ac:dyDescent="0.35">
      <c r="A951" s="2">
        <v>45923</v>
      </c>
      <c r="B951" s="1" t="s">
        <v>68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68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68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68</v>
      </c>
    </row>
    <row r="959" spans="1:2" x14ac:dyDescent="0.35">
      <c r="A959" s="2">
        <v>45924</v>
      </c>
      <c r="B959" s="1" t="s">
        <v>68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68</v>
      </c>
    </row>
    <row r="966" spans="1:2" x14ac:dyDescent="0.35">
      <c r="A966" s="2">
        <v>45924</v>
      </c>
      <c r="B966" s="1" t="s">
        <v>68</v>
      </c>
    </row>
    <row r="967" spans="1:2" x14ac:dyDescent="0.35">
      <c r="A967" s="2">
        <v>45924</v>
      </c>
      <c r="B967" s="1" t="s">
        <v>68</v>
      </c>
    </row>
    <row r="968" spans="1:2" x14ac:dyDescent="0.35">
      <c r="A968" s="2">
        <v>45924</v>
      </c>
      <c r="B968" s="1" t="s">
        <v>50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77</v>
      </c>
    </row>
    <row r="978" spans="1:2" x14ac:dyDescent="0.35">
      <c r="A978" s="2">
        <v>45924</v>
      </c>
      <c r="B978" s="1" t="s">
        <v>77</v>
      </c>
    </row>
    <row r="979" spans="1:2" x14ac:dyDescent="0.35">
      <c r="A979" s="2">
        <v>45924</v>
      </c>
      <c r="B979" s="1" t="s">
        <v>77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9</v>
      </c>
    </row>
    <row r="984" spans="1:2" x14ac:dyDescent="0.35">
      <c r="A984" s="2">
        <v>45924</v>
      </c>
      <c r="B984" s="1" t="s">
        <v>9</v>
      </c>
    </row>
    <row r="985" spans="1:2" x14ac:dyDescent="0.35">
      <c r="A985" s="2">
        <v>45924</v>
      </c>
      <c r="B985" s="1" t="s">
        <v>33</v>
      </c>
    </row>
    <row r="986" spans="1:2" x14ac:dyDescent="0.35">
      <c r="A986" s="2">
        <v>45924</v>
      </c>
      <c r="B986" s="1" t="s">
        <v>33</v>
      </c>
    </row>
    <row r="987" spans="1:2" x14ac:dyDescent="0.35">
      <c r="A987" s="2">
        <v>45924</v>
      </c>
      <c r="B987" s="1" t="s">
        <v>9</v>
      </c>
    </row>
    <row r="988" spans="1:2" x14ac:dyDescent="0.35">
      <c r="A988" s="2">
        <v>45924</v>
      </c>
      <c r="B988" s="1" t="s">
        <v>33</v>
      </c>
    </row>
    <row r="989" spans="1:2" x14ac:dyDescent="0.35">
      <c r="A989" s="2">
        <v>45924</v>
      </c>
      <c r="B989" s="1" t="s">
        <v>9</v>
      </c>
    </row>
    <row r="990" spans="1:2" x14ac:dyDescent="0.35">
      <c r="A990" s="2">
        <v>45924</v>
      </c>
      <c r="B990" s="1" t="s">
        <v>9</v>
      </c>
    </row>
    <row r="991" spans="1:2" x14ac:dyDescent="0.35">
      <c r="A991" s="2">
        <v>45924</v>
      </c>
      <c r="B991" s="1" t="s">
        <v>50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9</v>
      </c>
    </row>
    <row r="997" spans="1:2" x14ac:dyDescent="0.35">
      <c r="A997" s="2">
        <v>45925</v>
      </c>
      <c r="B997" s="1" t="s">
        <v>9</v>
      </c>
    </row>
    <row r="998" spans="1:2" x14ac:dyDescent="0.35">
      <c r="A998" s="2">
        <v>45925</v>
      </c>
      <c r="B998" s="1" t="s">
        <v>9</v>
      </c>
    </row>
    <row r="999" spans="1:2" x14ac:dyDescent="0.35">
      <c r="A999" s="2">
        <v>45925</v>
      </c>
      <c r="B999" s="1" t="s">
        <v>9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33</v>
      </c>
    </row>
    <row r="1007" spans="1:2" x14ac:dyDescent="0.35">
      <c r="A1007" s="2">
        <v>45925</v>
      </c>
      <c r="B1007" s="1" t="s">
        <v>33</v>
      </c>
    </row>
    <row r="1008" spans="1:2" x14ac:dyDescent="0.35">
      <c r="A1008" s="2">
        <v>45925</v>
      </c>
      <c r="B1008" s="1" t="s">
        <v>33</v>
      </c>
    </row>
    <row r="1009" spans="1:2" x14ac:dyDescent="0.35">
      <c r="A1009" s="2">
        <v>45925</v>
      </c>
      <c r="B1009" s="1" t="s">
        <v>33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68</v>
      </c>
    </row>
    <row r="1022" spans="1:2" x14ac:dyDescent="0.35">
      <c r="A1022" s="2">
        <v>45926</v>
      </c>
      <c r="B1022" s="1" t="s">
        <v>68</v>
      </c>
    </row>
    <row r="1023" spans="1:2" x14ac:dyDescent="0.35">
      <c r="A1023" s="2">
        <v>45926</v>
      </c>
      <c r="B1023" s="1" t="s">
        <v>77</v>
      </c>
    </row>
    <row r="1024" spans="1:2" x14ac:dyDescent="0.35">
      <c r="A1024" s="2">
        <v>45926</v>
      </c>
      <c r="B1024" s="1" t="s">
        <v>77</v>
      </c>
    </row>
    <row r="1025" spans="1:2" x14ac:dyDescent="0.35">
      <c r="A1025" s="2">
        <v>45926</v>
      </c>
      <c r="B1025" s="1" t="s">
        <v>77</v>
      </c>
    </row>
    <row r="1026" spans="1:2" x14ac:dyDescent="0.35">
      <c r="A1026" s="2">
        <v>45926</v>
      </c>
      <c r="B1026" s="1" t="s">
        <v>68</v>
      </c>
    </row>
    <row r="1027" spans="1:2" x14ac:dyDescent="0.35">
      <c r="A1027" s="2">
        <v>45926</v>
      </c>
      <c r="B1027" s="1" t="s">
        <v>68</v>
      </c>
    </row>
    <row r="1028" spans="1:2" x14ac:dyDescent="0.35">
      <c r="A1028" s="2">
        <v>45926</v>
      </c>
      <c r="B1028" s="1" t="s">
        <v>68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68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9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5</v>
      </c>
    </row>
    <row r="1044" spans="1:2" x14ac:dyDescent="0.35">
      <c r="A1044" s="2">
        <v>45926</v>
      </c>
      <c r="B1044" s="1" t="s">
        <v>5</v>
      </c>
    </row>
    <row r="1045" spans="1:2" x14ac:dyDescent="0.35">
      <c r="A1045" s="2">
        <v>45926</v>
      </c>
      <c r="B1045" s="1" t="s">
        <v>5</v>
      </c>
    </row>
    <row r="1046" spans="1:2" x14ac:dyDescent="0.35">
      <c r="A1046" s="2">
        <v>45926</v>
      </c>
      <c r="B1046" s="1" t="s">
        <v>5</v>
      </c>
    </row>
    <row r="1047" spans="1:2" x14ac:dyDescent="0.35">
      <c r="A1047" s="2">
        <v>45926</v>
      </c>
      <c r="B1047" s="1" t="s">
        <v>5</v>
      </c>
    </row>
    <row r="1048" spans="1:2" x14ac:dyDescent="0.35">
      <c r="A1048" s="2">
        <v>45926</v>
      </c>
      <c r="B1048" s="1" t="s">
        <v>5</v>
      </c>
    </row>
    <row r="1049" spans="1:2" x14ac:dyDescent="0.35">
      <c r="A1049" s="2">
        <v>45926</v>
      </c>
      <c r="B1049" s="1" t="s">
        <v>5</v>
      </c>
    </row>
    <row r="1050" spans="1:2" x14ac:dyDescent="0.35">
      <c r="A1050" s="2">
        <v>45926</v>
      </c>
      <c r="B1050" s="1" t="s">
        <v>5</v>
      </c>
    </row>
    <row r="1051" spans="1:2" x14ac:dyDescent="0.35">
      <c r="A1051" s="2">
        <v>45926</v>
      </c>
      <c r="B1051" s="1" t="s">
        <v>5</v>
      </c>
    </row>
    <row r="1052" spans="1:2" x14ac:dyDescent="0.35">
      <c r="A1052" s="2">
        <v>45926</v>
      </c>
      <c r="B1052" s="1" t="s">
        <v>5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33</v>
      </c>
    </row>
    <row r="1057" spans="1:2" x14ac:dyDescent="0.35">
      <c r="A1057" s="2">
        <v>45926</v>
      </c>
      <c r="B1057" s="1" t="s">
        <v>33</v>
      </c>
    </row>
    <row r="1058" spans="1:2" x14ac:dyDescent="0.35">
      <c r="A1058" s="2">
        <v>45926</v>
      </c>
      <c r="B1058" s="1" t="s">
        <v>33</v>
      </c>
    </row>
    <row r="1059" spans="1:2" x14ac:dyDescent="0.35">
      <c r="A1059" s="2">
        <v>45926</v>
      </c>
      <c r="B1059" s="1" t="s">
        <v>34</v>
      </c>
    </row>
    <row r="1060" spans="1:2" x14ac:dyDescent="0.35">
      <c r="A1060" s="2">
        <v>45926</v>
      </c>
      <c r="B1060" s="1" t="s">
        <v>68</v>
      </c>
    </row>
    <row r="1061" spans="1:2" x14ac:dyDescent="0.35">
      <c r="A1061" s="2">
        <v>45926</v>
      </c>
      <c r="B1061" s="1" t="s">
        <v>68</v>
      </c>
    </row>
    <row r="1062" spans="1:2" x14ac:dyDescent="0.35">
      <c r="A1062" s="2">
        <v>45926</v>
      </c>
      <c r="B1062" s="1" t="s">
        <v>68</v>
      </c>
    </row>
    <row r="1063" spans="1:2" x14ac:dyDescent="0.35">
      <c r="A1063" s="2">
        <v>45926</v>
      </c>
      <c r="B1063" s="1" t="s">
        <v>68</v>
      </c>
    </row>
    <row r="1064" spans="1:2" x14ac:dyDescent="0.35">
      <c r="A1064" s="2">
        <v>45926</v>
      </c>
      <c r="B1064" s="1" t="s">
        <v>9</v>
      </c>
    </row>
    <row r="1065" spans="1:2" x14ac:dyDescent="0.35">
      <c r="A1065" s="2">
        <v>45926</v>
      </c>
      <c r="B1065" s="1" t="s">
        <v>68</v>
      </c>
    </row>
    <row r="1066" spans="1:2" x14ac:dyDescent="0.35">
      <c r="A1066" s="2">
        <v>45926</v>
      </c>
      <c r="B1066" s="1" t="s">
        <v>9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9</v>
      </c>
    </row>
    <row r="1069" spans="1:2" x14ac:dyDescent="0.35">
      <c r="A1069" s="2">
        <v>45926</v>
      </c>
      <c r="B1069" s="1" t="s">
        <v>9</v>
      </c>
    </row>
    <row r="1070" spans="1:2" x14ac:dyDescent="0.35">
      <c r="A1070" s="2">
        <v>45926</v>
      </c>
      <c r="B1070" s="1" t="s">
        <v>9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68</v>
      </c>
    </row>
    <row r="1074" spans="1:2" x14ac:dyDescent="0.35">
      <c r="A1074" s="2">
        <v>45929</v>
      </c>
      <c r="B1074" s="1" t="s">
        <v>34</v>
      </c>
    </row>
    <row r="1075" spans="1:2" x14ac:dyDescent="0.35">
      <c r="A1075" s="2">
        <v>45929</v>
      </c>
      <c r="B1075" s="1" t="s">
        <v>34</v>
      </c>
    </row>
    <row r="1076" spans="1:2" x14ac:dyDescent="0.35">
      <c r="A1076" s="2">
        <v>45929</v>
      </c>
      <c r="B1076" s="1" t="s">
        <v>34</v>
      </c>
    </row>
    <row r="1077" spans="1:2" x14ac:dyDescent="0.35">
      <c r="A1077" s="2">
        <v>45929</v>
      </c>
      <c r="B1077" s="1" t="s">
        <v>34</v>
      </c>
    </row>
    <row r="1078" spans="1:2" x14ac:dyDescent="0.35">
      <c r="A1078" s="2">
        <v>45929</v>
      </c>
      <c r="B1078" s="1" t="s">
        <v>34</v>
      </c>
    </row>
    <row r="1079" spans="1:2" x14ac:dyDescent="0.35">
      <c r="A1079" s="2">
        <v>45929</v>
      </c>
      <c r="B1079" s="1" t="s">
        <v>34</v>
      </c>
    </row>
    <row r="1080" spans="1:2" x14ac:dyDescent="0.35">
      <c r="A1080" s="2">
        <v>45929</v>
      </c>
      <c r="B1080" s="1" t="s">
        <v>9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68</v>
      </c>
    </row>
    <row r="1084" spans="1:2" x14ac:dyDescent="0.35">
      <c r="A1084" s="2">
        <v>45929</v>
      </c>
      <c r="B1084" s="1" t="s">
        <v>28</v>
      </c>
    </row>
    <row r="1085" spans="1:2" x14ac:dyDescent="0.35">
      <c r="A1085" s="2">
        <v>45929</v>
      </c>
      <c r="B1085" s="1" t="s">
        <v>28</v>
      </c>
    </row>
    <row r="1086" spans="1:2" x14ac:dyDescent="0.35">
      <c r="A1086" s="2">
        <v>45929</v>
      </c>
      <c r="B1086" s="1" t="s">
        <v>68</v>
      </c>
    </row>
    <row r="1087" spans="1:2" x14ac:dyDescent="0.35">
      <c r="A1087" s="2">
        <v>45929</v>
      </c>
      <c r="B1087" s="1" t="s">
        <v>68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68</v>
      </c>
    </row>
    <row r="1090" spans="1:2" x14ac:dyDescent="0.35">
      <c r="A1090" s="2">
        <v>45929</v>
      </c>
      <c r="B1090" s="1" t="s">
        <v>68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77</v>
      </c>
    </row>
    <row r="1101" spans="1:2" x14ac:dyDescent="0.35">
      <c r="A1101" s="2">
        <v>45931</v>
      </c>
      <c r="B1101" s="1" t="s">
        <v>28</v>
      </c>
    </row>
    <row r="1102" spans="1:2" x14ac:dyDescent="0.35">
      <c r="A1102" s="2">
        <v>45931</v>
      </c>
      <c r="B1102" s="1" t="s">
        <v>9</v>
      </c>
    </row>
    <row r="1103" spans="1:2" x14ac:dyDescent="0.35">
      <c r="A1103" s="2">
        <v>45931</v>
      </c>
      <c r="B1103" s="1" t="s">
        <v>9</v>
      </c>
    </row>
    <row r="1104" spans="1:2" x14ac:dyDescent="0.35">
      <c r="A1104" s="2">
        <v>45931</v>
      </c>
      <c r="B1104" s="1" t="s">
        <v>9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34</v>
      </c>
    </row>
    <row r="1110" spans="1:2" x14ac:dyDescent="0.35">
      <c r="A1110" s="2">
        <v>45931</v>
      </c>
      <c r="B1110" s="1" t="s">
        <v>24</v>
      </c>
    </row>
    <row r="1111" spans="1:2" x14ac:dyDescent="0.35">
      <c r="A1111" s="2">
        <v>45931</v>
      </c>
      <c r="B1111" s="1" t="s">
        <v>24</v>
      </c>
    </row>
    <row r="1112" spans="1:2" x14ac:dyDescent="0.35">
      <c r="A1112" s="2">
        <v>45931</v>
      </c>
      <c r="B1112" s="1" t="s">
        <v>34</v>
      </c>
    </row>
    <row r="1113" spans="1:2" x14ac:dyDescent="0.35">
      <c r="A1113" s="2">
        <v>45931</v>
      </c>
      <c r="B1113" s="1" t="s">
        <v>5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5</v>
      </c>
    </row>
    <row r="1116" spans="1:2" x14ac:dyDescent="0.35">
      <c r="A1116" s="2">
        <v>45931</v>
      </c>
      <c r="B1116" s="1" t="s">
        <v>24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5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5</v>
      </c>
    </row>
    <row r="1121" spans="1:2" x14ac:dyDescent="0.35">
      <c r="A1121" s="2">
        <v>45931</v>
      </c>
      <c r="B1121" s="1" t="s">
        <v>5</v>
      </c>
    </row>
    <row r="1122" spans="1:2" x14ac:dyDescent="0.35">
      <c r="A1122" s="2">
        <v>45931</v>
      </c>
      <c r="B1122" s="1" t="s">
        <v>24</v>
      </c>
    </row>
    <row r="1123" spans="1:2" x14ac:dyDescent="0.35">
      <c r="A1123" s="2">
        <v>45931</v>
      </c>
      <c r="B1123" s="1" t="s">
        <v>5</v>
      </c>
    </row>
    <row r="1124" spans="1:2" x14ac:dyDescent="0.35">
      <c r="A1124" s="2">
        <v>45931</v>
      </c>
      <c r="B1124" s="1" t="s">
        <v>5</v>
      </c>
    </row>
    <row r="1125" spans="1:2" x14ac:dyDescent="0.35">
      <c r="A1125" s="2">
        <v>45931</v>
      </c>
      <c r="B1125" s="1" t="s">
        <v>34</v>
      </c>
    </row>
    <row r="1126" spans="1:2" x14ac:dyDescent="0.35">
      <c r="A1126" s="2">
        <v>45931</v>
      </c>
      <c r="B1126" s="1" t="s">
        <v>34</v>
      </c>
    </row>
    <row r="1127" spans="1:2" x14ac:dyDescent="0.35">
      <c r="A1127" s="2">
        <v>45931</v>
      </c>
      <c r="B1127" s="1" t="s">
        <v>34</v>
      </c>
    </row>
    <row r="1128" spans="1:2" x14ac:dyDescent="0.35">
      <c r="A1128" s="2">
        <v>45931</v>
      </c>
      <c r="B1128" s="1" t="s">
        <v>34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24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68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34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68</v>
      </c>
    </row>
    <row r="1149" spans="1:2" x14ac:dyDescent="0.35">
      <c r="A1149" s="2">
        <v>45932</v>
      </c>
      <c r="B1149" s="1" t="s">
        <v>68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5</v>
      </c>
    </row>
    <row r="1152" spans="1:2" x14ac:dyDescent="0.35">
      <c r="A1152" s="2">
        <v>45932</v>
      </c>
      <c r="B1152" s="1" t="s">
        <v>5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34</v>
      </c>
    </row>
    <row r="1156" spans="1:2" x14ac:dyDescent="0.35">
      <c r="A1156" s="2">
        <v>45933</v>
      </c>
      <c r="B1156" s="1" t="s">
        <v>34</v>
      </c>
    </row>
    <row r="1157" spans="1:2" x14ac:dyDescent="0.35">
      <c r="A1157" s="2">
        <v>45933</v>
      </c>
      <c r="B1157" s="1" t="s">
        <v>22</v>
      </c>
    </row>
    <row r="1158" spans="1:2" x14ac:dyDescent="0.35">
      <c r="A1158" s="2">
        <v>45933</v>
      </c>
      <c r="B1158" s="1" t="s">
        <v>22</v>
      </c>
    </row>
    <row r="1159" spans="1:2" x14ac:dyDescent="0.35">
      <c r="A1159" s="2">
        <v>45933</v>
      </c>
      <c r="B1159" s="1" t="s">
        <v>22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22</v>
      </c>
    </row>
    <row r="1164" spans="1:2" x14ac:dyDescent="0.35">
      <c r="A1164" s="2">
        <v>45933</v>
      </c>
      <c r="B1164" s="1" t="s">
        <v>22</v>
      </c>
    </row>
    <row r="1165" spans="1:2" x14ac:dyDescent="0.35">
      <c r="A1165" s="2">
        <v>45933</v>
      </c>
      <c r="B1165" s="1" t="s">
        <v>34</v>
      </c>
    </row>
    <row r="1166" spans="1:2" x14ac:dyDescent="0.35">
      <c r="A1166" s="2">
        <v>45933</v>
      </c>
      <c r="B1166" s="1" t="s">
        <v>34</v>
      </c>
    </row>
    <row r="1167" spans="1:2" x14ac:dyDescent="0.35">
      <c r="A1167" s="2">
        <v>45933</v>
      </c>
      <c r="B1167" s="1" t="s">
        <v>34</v>
      </c>
    </row>
    <row r="1168" spans="1:2" x14ac:dyDescent="0.35">
      <c r="A1168" s="2">
        <v>45933</v>
      </c>
      <c r="B1168" s="1" t="s">
        <v>34</v>
      </c>
    </row>
    <row r="1169" spans="1:2" x14ac:dyDescent="0.35">
      <c r="A1169" s="2">
        <v>45933</v>
      </c>
      <c r="B1169" s="1" t="s">
        <v>5</v>
      </c>
    </row>
    <row r="1170" spans="1:2" x14ac:dyDescent="0.35">
      <c r="A1170" s="2">
        <v>45933</v>
      </c>
      <c r="B1170" s="1" t="s">
        <v>34</v>
      </c>
    </row>
    <row r="1171" spans="1:2" x14ac:dyDescent="0.35">
      <c r="A1171" s="2">
        <v>45933</v>
      </c>
      <c r="B1171" s="1" t="s">
        <v>68</v>
      </c>
    </row>
    <row r="1172" spans="1:2" x14ac:dyDescent="0.35">
      <c r="A1172" s="2">
        <v>45933</v>
      </c>
      <c r="B1172" s="1" t="s">
        <v>68</v>
      </c>
    </row>
    <row r="1173" spans="1:2" x14ac:dyDescent="0.35">
      <c r="A1173" s="2">
        <v>45933</v>
      </c>
      <c r="B1173" s="1" t="s">
        <v>68</v>
      </c>
    </row>
    <row r="1174" spans="1:2" x14ac:dyDescent="0.35">
      <c r="A1174" s="2">
        <v>45933</v>
      </c>
      <c r="B1174" s="1" t="s">
        <v>68</v>
      </c>
    </row>
    <row r="1175" spans="1:2" x14ac:dyDescent="0.35">
      <c r="A1175" s="2">
        <v>45933</v>
      </c>
      <c r="B1175" s="1" t="s">
        <v>68</v>
      </c>
    </row>
    <row r="1176" spans="1:2" x14ac:dyDescent="0.35">
      <c r="A1176" s="2">
        <v>45933</v>
      </c>
      <c r="B1176" s="1" t="s">
        <v>68</v>
      </c>
    </row>
    <row r="1177" spans="1:2" x14ac:dyDescent="0.35">
      <c r="A1177" s="2">
        <v>45933</v>
      </c>
      <c r="B1177" s="1" t="s">
        <v>68</v>
      </c>
    </row>
    <row r="1178" spans="1:2" x14ac:dyDescent="0.35">
      <c r="A1178" s="2">
        <v>45933</v>
      </c>
      <c r="B1178" s="1" t="s">
        <v>68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28</v>
      </c>
    </row>
    <row r="1181" spans="1:2" x14ac:dyDescent="0.35">
      <c r="A1181" s="2">
        <v>45933</v>
      </c>
      <c r="B1181" s="1" t="s">
        <v>28</v>
      </c>
    </row>
    <row r="1182" spans="1:2" x14ac:dyDescent="0.35">
      <c r="A1182" s="2">
        <v>45933</v>
      </c>
      <c r="B1182" s="1" t="s">
        <v>28</v>
      </c>
    </row>
    <row r="1183" spans="1:2" x14ac:dyDescent="0.35">
      <c r="A1183" s="2">
        <v>45933</v>
      </c>
      <c r="B1183" s="1" t="s">
        <v>33</v>
      </c>
    </row>
    <row r="1184" spans="1:2" x14ac:dyDescent="0.35">
      <c r="A1184" s="2">
        <v>45933</v>
      </c>
      <c r="B1184" s="1" t="s">
        <v>33</v>
      </c>
    </row>
    <row r="1185" spans="1:2" x14ac:dyDescent="0.35">
      <c r="A1185" s="2">
        <v>45933</v>
      </c>
      <c r="B1185" s="1" t="s">
        <v>33</v>
      </c>
    </row>
    <row r="1186" spans="1:2" x14ac:dyDescent="0.35">
      <c r="A1186" s="2">
        <v>45933</v>
      </c>
      <c r="B1186" s="1" t="s">
        <v>33</v>
      </c>
    </row>
    <row r="1187" spans="1:2" x14ac:dyDescent="0.35">
      <c r="A1187" s="2">
        <v>45933</v>
      </c>
      <c r="B1187" s="1" t="s">
        <v>33</v>
      </c>
    </row>
    <row r="1188" spans="1:2" x14ac:dyDescent="0.35">
      <c r="A1188" s="2">
        <v>45936</v>
      </c>
      <c r="B1188" s="1" t="s">
        <v>22</v>
      </c>
    </row>
    <row r="1189" spans="1:2" x14ac:dyDescent="0.35">
      <c r="A1189" s="2">
        <v>45936</v>
      </c>
      <c r="B1189" s="1" t="s">
        <v>9</v>
      </c>
    </row>
    <row r="1190" spans="1:2" x14ac:dyDescent="0.35">
      <c r="A1190" s="2">
        <v>45936</v>
      </c>
      <c r="B1190" s="1" t="s">
        <v>9</v>
      </c>
    </row>
    <row r="1191" spans="1:2" x14ac:dyDescent="0.35">
      <c r="A1191" s="2">
        <v>45936</v>
      </c>
      <c r="B1191" s="1" t="s">
        <v>22</v>
      </c>
    </row>
    <row r="1192" spans="1:2" x14ac:dyDescent="0.35">
      <c r="A1192" s="2">
        <v>45936</v>
      </c>
      <c r="B1192" s="1" t="s">
        <v>9</v>
      </c>
    </row>
    <row r="1193" spans="1:2" x14ac:dyDescent="0.35">
      <c r="A1193" s="2">
        <v>45936</v>
      </c>
      <c r="B1193" s="1" t="s">
        <v>22</v>
      </c>
    </row>
    <row r="1194" spans="1:2" x14ac:dyDescent="0.35">
      <c r="A1194" s="2">
        <v>45936</v>
      </c>
      <c r="B1194" s="1" t="s">
        <v>22</v>
      </c>
    </row>
    <row r="1195" spans="1:2" x14ac:dyDescent="0.35">
      <c r="A1195" s="2">
        <v>45936</v>
      </c>
      <c r="B1195" s="1" t="s">
        <v>22</v>
      </c>
    </row>
    <row r="1196" spans="1:2" x14ac:dyDescent="0.35">
      <c r="A1196" s="2">
        <v>45936</v>
      </c>
      <c r="B1196" s="1" t="s">
        <v>28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9</v>
      </c>
    </row>
    <row r="1203" spans="1:2" x14ac:dyDescent="0.35">
      <c r="A1203" s="2">
        <v>45936</v>
      </c>
      <c r="B1203" s="1" t="s">
        <v>9</v>
      </c>
    </row>
    <row r="1204" spans="1:2" x14ac:dyDescent="0.35">
      <c r="A1204" s="2">
        <v>45936</v>
      </c>
      <c r="B1204" s="1" t="s">
        <v>34</v>
      </c>
    </row>
    <row r="1205" spans="1:2" x14ac:dyDescent="0.35">
      <c r="A1205" s="2">
        <v>45936</v>
      </c>
      <c r="B1205" s="1" t="s">
        <v>5</v>
      </c>
    </row>
    <row r="1206" spans="1:2" x14ac:dyDescent="0.35">
      <c r="A1206" s="2">
        <v>45936</v>
      </c>
      <c r="B1206" s="1" t="s">
        <v>34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77</v>
      </c>
    </row>
    <row r="1211" spans="1:2" x14ac:dyDescent="0.35">
      <c r="A1211" s="2">
        <v>45936</v>
      </c>
      <c r="B1211" s="1" t="s">
        <v>77</v>
      </c>
    </row>
    <row r="1212" spans="1:2" x14ac:dyDescent="0.35">
      <c r="A1212" s="2">
        <v>45936</v>
      </c>
      <c r="B1212" s="1" t="s">
        <v>33</v>
      </c>
    </row>
    <row r="1213" spans="1:2" x14ac:dyDescent="0.35">
      <c r="A1213" s="2">
        <v>45936</v>
      </c>
      <c r="B1213" s="1" t="s">
        <v>34</v>
      </c>
    </row>
    <row r="1214" spans="1:2" x14ac:dyDescent="0.35">
      <c r="A1214" s="2">
        <v>45936</v>
      </c>
      <c r="B1214" s="1" t="s">
        <v>33</v>
      </c>
    </row>
    <row r="1215" spans="1:2" x14ac:dyDescent="0.35">
      <c r="A1215" s="2">
        <v>45936</v>
      </c>
      <c r="B1215" s="1" t="s">
        <v>34</v>
      </c>
    </row>
    <row r="1216" spans="1:2" x14ac:dyDescent="0.35">
      <c r="A1216" s="2">
        <v>45936</v>
      </c>
      <c r="B1216" s="1" t="s">
        <v>34</v>
      </c>
    </row>
    <row r="1217" spans="1:2" x14ac:dyDescent="0.35">
      <c r="A1217" s="2">
        <v>45936</v>
      </c>
      <c r="B1217" s="1" t="s">
        <v>34</v>
      </c>
    </row>
    <row r="1218" spans="1:2" x14ac:dyDescent="0.35">
      <c r="A1218" s="2">
        <v>45936</v>
      </c>
      <c r="B1218" s="1" t="s">
        <v>33</v>
      </c>
    </row>
    <row r="1219" spans="1:2" x14ac:dyDescent="0.35">
      <c r="A1219" s="2">
        <v>45936</v>
      </c>
      <c r="B1219" s="1" t="s">
        <v>33</v>
      </c>
    </row>
    <row r="1220" spans="1:2" x14ac:dyDescent="0.35">
      <c r="A1220" s="2">
        <v>45936</v>
      </c>
      <c r="B1220" s="1" t="s">
        <v>33</v>
      </c>
    </row>
    <row r="1221" spans="1:2" x14ac:dyDescent="0.35">
      <c r="A1221" s="2">
        <v>45936</v>
      </c>
      <c r="B1221" s="1" t="s">
        <v>28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68</v>
      </c>
    </row>
    <row r="1224" spans="1:2" x14ac:dyDescent="0.35">
      <c r="A1224" s="2">
        <v>45936</v>
      </c>
      <c r="B1224" s="1" t="s">
        <v>68</v>
      </c>
    </row>
    <row r="1225" spans="1:2" x14ac:dyDescent="0.35">
      <c r="A1225" s="2">
        <v>45937</v>
      </c>
      <c r="B1225" s="1" t="s">
        <v>9</v>
      </c>
    </row>
    <row r="1226" spans="1:2" x14ac:dyDescent="0.35">
      <c r="A1226" s="2">
        <v>45937</v>
      </c>
      <c r="B1226" s="1" t="s">
        <v>9</v>
      </c>
    </row>
    <row r="1227" spans="1:2" x14ac:dyDescent="0.35">
      <c r="A1227" s="2">
        <v>45937</v>
      </c>
      <c r="B1227" s="1" t="s">
        <v>9</v>
      </c>
    </row>
    <row r="1228" spans="1:2" x14ac:dyDescent="0.35">
      <c r="A1228" s="2">
        <v>45937</v>
      </c>
      <c r="B1228" s="1" t="s">
        <v>9</v>
      </c>
    </row>
    <row r="1229" spans="1:2" x14ac:dyDescent="0.35">
      <c r="A1229" s="2">
        <v>45937</v>
      </c>
      <c r="B1229" s="1" t="s">
        <v>9</v>
      </c>
    </row>
    <row r="1230" spans="1:2" x14ac:dyDescent="0.35">
      <c r="A1230" s="2">
        <v>45937</v>
      </c>
      <c r="B1230" s="1" t="s">
        <v>68</v>
      </c>
    </row>
    <row r="1231" spans="1:2" x14ac:dyDescent="0.35">
      <c r="A1231" s="2">
        <v>45937</v>
      </c>
      <c r="B1231" s="1" t="s">
        <v>5</v>
      </c>
    </row>
    <row r="1232" spans="1:2" x14ac:dyDescent="0.35">
      <c r="A1232" s="2">
        <v>45937</v>
      </c>
      <c r="B1232" s="1" t="s">
        <v>5</v>
      </c>
    </row>
    <row r="1233" spans="1:2" x14ac:dyDescent="0.35">
      <c r="A1233" s="2">
        <v>45937</v>
      </c>
      <c r="B1233" s="1" t="s">
        <v>34</v>
      </c>
    </row>
    <row r="1234" spans="1:2" x14ac:dyDescent="0.35">
      <c r="A1234" s="2">
        <v>45937</v>
      </c>
      <c r="B1234" s="1" t="s">
        <v>34</v>
      </c>
    </row>
    <row r="1235" spans="1:2" x14ac:dyDescent="0.35">
      <c r="A1235" s="2">
        <v>45937</v>
      </c>
      <c r="B1235" s="1" t="s">
        <v>5</v>
      </c>
    </row>
    <row r="1236" spans="1:2" x14ac:dyDescent="0.35">
      <c r="A1236" s="2">
        <v>45937</v>
      </c>
      <c r="B1236" s="1" t="s">
        <v>28</v>
      </c>
    </row>
    <row r="1237" spans="1:2" x14ac:dyDescent="0.35">
      <c r="A1237" s="2">
        <v>45937</v>
      </c>
      <c r="B1237" s="1" t="s">
        <v>34</v>
      </c>
    </row>
    <row r="1238" spans="1:2" x14ac:dyDescent="0.35">
      <c r="A1238" s="2">
        <v>45937</v>
      </c>
      <c r="B1238" s="1" t="s">
        <v>28</v>
      </c>
    </row>
    <row r="1239" spans="1:2" x14ac:dyDescent="0.35">
      <c r="A1239" s="2">
        <v>45937</v>
      </c>
      <c r="B1239" s="1" t="s">
        <v>34</v>
      </c>
    </row>
    <row r="1240" spans="1:2" x14ac:dyDescent="0.35">
      <c r="A1240" s="2">
        <v>45937</v>
      </c>
      <c r="B1240" s="1" t="s">
        <v>50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50</v>
      </c>
    </row>
    <row r="1243" spans="1:2" x14ac:dyDescent="0.35">
      <c r="A1243" s="2">
        <v>45937</v>
      </c>
      <c r="B1243" s="1" t="s">
        <v>68</v>
      </c>
    </row>
    <row r="1244" spans="1:2" x14ac:dyDescent="0.35">
      <c r="A1244" s="2">
        <v>45937</v>
      </c>
      <c r="B1244" s="1" t="s">
        <v>68</v>
      </c>
    </row>
    <row r="1245" spans="1:2" x14ac:dyDescent="0.35">
      <c r="A1245" s="2">
        <v>45937</v>
      </c>
      <c r="B1245" s="1" t="s">
        <v>68</v>
      </c>
    </row>
    <row r="1246" spans="1:2" x14ac:dyDescent="0.35">
      <c r="A1246" s="2">
        <v>45937</v>
      </c>
      <c r="B1246" s="1" t="s">
        <v>68</v>
      </c>
    </row>
    <row r="1247" spans="1:2" x14ac:dyDescent="0.35">
      <c r="A1247" s="2">
        <v>45937</v>
      </c>
      <c r="B1247" s="1" t="s">
        <v>33</v>
      </c>
    </row>
    <row r="1248" spans="1:2" x14ac:dyDescent="0.35">
      <c r="A1248" s="2">
        <v>45937</v>
      </c>
      <c r="B1248" s="1" t="s">
        <v>33</v>
      </c>
    </row>
    <row r="1249" spans="1:2" x14ac:dyDescent="0.35">
      <c r="A1249" s="2">
        <v>45937</v>
      </c>
      <c r="B1249" s="1" t="s">
        <v>33</v>
      </c>
    </row>
    <row r="1250" spans="1:2" x14ac:dyDescent="0.35">
      <c r="A1250" s="2">
        <v>45937</v>
      </c>
      <c r="B1250" s="1" t="s">
        <v>33</v>
      </c>
    </row>
    <row r="1251" spans="1:2" x14ac:dyDescent="0.35">
      <c r="A1251" s="2">
        <v>45937</v>
      </c>
      <c r="B1251" s="1" t="s">
        <v>33</v>
      </c>
    </row>
    <row r="1252" spans="1:2" x14ac:dyDescent="0.35">
      <c r="A1252" s="2">
        <v>45937</v>
      </c>
      <c r="B1252" s="1" t="s">
        <v>24</v>
      </c>
    </row>
    <row r="1253" spans="1:2" x14ac:dyDescent="0.35">
      <c r="A1253" s="2">
        <v>45937</v>
      </c>
      <c r="B1253" s="1" t="s">
        <v>24</v>
      </c>
    </row>
    <row r="1254" spans="1:2" x14ac:dyDescent="0.35">
      <c r="A1254" s="2">
        <v>45937</v>
      </c>
      <c r="B1254" s="1" t="s">
        <v>24</v>
      </c>
    </row>
    <row r="1255" spans="1:2" x14ac:dyDescent="0.35">
      <c r="A1255" s="2">
        <v>45937</v>
      </c>
      <c r="B1255" s="1" t="s">
        <v>22</v>
      </c>
    </row>
    <row r="1256" spans="1:2" x14ac:dyDescent="0.35">
      <c r="A1256" s="2">
        <v>45937</v>
      </c>
      <c r="B1256" s="1" t="s">
        <v>22</v>
      </c>
    </row>
    <row r="1257" spans="1:2" x14ac:dyDescent="0.35">
      <c r="A1257" s="2">
        <v>45937</v>
      </c>
      <c r="B1257" s="1" t="s">
        <v>22</v>
      </c>
    </row>
    <row r="1258" spans="1:2" x14ac:dyDescent="0.35">
      <c r="A1258" s="2">
        <v>45937</v>
      </c>
      <c r="B1258" s="1" t="s">
        <v>77</v>
      </c>
    </row>
    <row r="1259" spans="1:2" x14ac:dyDescent="0.35">
      <c r="A1259" s="2">
        <v>45937</v>
      </c>
      <c r="B1259" s="1" t="s">
        <v>77</v>
      </c>
    </row>
    <row r="1260" spans="1:2" x14ac:dyDescent="0.35">
      <c r="A1260" s="2">
        <v>45937</v>
      </c>
      <c r="B1260" s="1" t="s">
        <v>68</v>
      </c>
    </row>
    <row r="1261" spans="1:2" x14ac:dyDescent="0.35">
      <c r="A1261" s="2">
        <v>45937</v>
      </c>
      <c r="B1261" s="1" t="s">
        <v>68</v>
      </c>
    </row>
    <row r="1262" spans="1:2" x14ac:dyDescent="0.35">
      <c r="A1262" s="2">
        <v>45937</v>
      </c>
      <c r="B1262" s="1" t="s">
        <v>68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24</v>
      </c>
    </row>
    <row r="1266" spans="1:2" x14ac:dyDescent="0.35">
      <c r="A1266" s="2">
        <v>45938</v>
      </c>
      <c r="B1266" s="1" t="s">
        <v>33</v>
      </c>
    </row>
    <row r="1267" spans="1:2" x14ac:dyDescent="0.35">
      <c r="A1267" s="2">
        <v>45938</v>
      </c>
      <c r="B1267" s="1" t="s">
        <v>33</v>
      </c>
    </row>
    <row r="1268" spans="1:2" x14ac:dyDescent="0.35">
      <c r="A1268" s="2">
        <v>45938</v>
      </c>
      <c r="B1268" s="1" t="s">
        <v>33</v>
      </c>
    </row>
    <row r="1269" spans="1:2" x14ac:dyDescent="0.35">
      <c r="A1269" s="2">
        <v>45938</v>
      </c>
      <c r="B1269" s="1" t="s">
        <v>33</v>
      </c>
    </row>
    <row r="1270" spans="1:2" x14ac:dyDescent="0.35">
      <c r="A1270" s="2">
        <v>45938</v>
      </c>
      <c r="B1270" s="1" t="s">
        <v>9</v>
      </c>
    </row>
    <row r="1271" spans="1:2" x14ac:dyDescent="0.35">
      <c r="A1271" s="2">
        <v>45938</v>
      </c>
      <c r="B1271" s="1" t="s">
        <v>33</v>
      </c>
    </row>
    <row r="1272" spans="1:2" x14ac:dyDescent="0.35">
      <c r="A1272" s="2">
        <v>45938</v>
      </c>
      <c r="B1272" s="1" t="s">
        <v>9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9</v>
      </c>
    </row>
    <row r="1275" spans="1:2" x14ac:dyDescent="0.35">
      <c r="A1275" s="2">
        <v>45938</v>
      </c>
      <c r="B1275" s="1" t="s">
        <v>77</v>
      </c>
    </row>
    <row r="1276" spans="1:2" x14ac:dyDescent="0.35">
      <c r="A1276" s="2">
        <v>45938</v>
      </c>
      <c r="B1276" s="1" t="s">
        <v>5</v>
      </c>
    </row>
    <row r="1277" spans="1:2" x14ac:dyDescent="0.35">
      <c r="A1277" s="2">
        <v>45938</v>
      </c>
      <c r="B1277" s="1" t="s">
        <v>50</v>
      </c>
    </row>
    <row r="1278" spans="1:2" x14ac:dyDescent="0.35">
      <c r="A1278" s="2">
        <v>45938</v>
      </c>
      <c r="B1278" s="1" t="s">
        <v>34</v>
      </c>
    </row>
    <row r="1279" spans="1:2" x14ac:dyDescent="0.35">
      <c r="A1279" s="2">
        <v>45938</v>
      </c>
      <c r="B1279" s="1" t="s">
        <v>34</v>
      </c>
    </row>
    <row r="1280" spans="1:2" x14ac:dyDescent="0.35">
      <c r="A1280" s="2">
        <v>45938</v>
      </c>
      <c r="B1280" s="1" t="s">
        <v>5</v>
      </c>
    </row>
    <row r="1281" spans="1:2" x14ac:dyDescent="0.35">
      <c r="A1281" s="2">
        <v>45938</v>
      </c>
      <c r="B1281" s="1" t="s">
        <v>24</v>
      </c>
    </row>
    <row r="1282" spans="1:2" x14ac:dyDescent="0.35">
      <c r="A1282" s="2">
        <v>45938</v>
      </c>
      <c r="B1282" s="1" t="s">
        <v>24</v>
      </c>
    </row>
    <row r="1283" spans="1:2" x14ac:dyDescent="0.35">
      <c r="A1283" s="2">
        <v>45938</v>
      </c>
      <c r="B1283" s="1" t="s">
        <v>28</v>
      </c>
    </row>
    <row r="1284" spans="1:2" x14ac:dyDescent="0.35">
      <c r="A1284" s="2">
        <v>45938</v>
      </c>
      <c r="B1284" s="1" t="s">
        <v>24</v>
      </c>
    </row>
    <row r="1285" spans="1:2" x14ac:dyDescent="0.35">
      <c r="A1285" s="2">
        <v>45938</v>
      </c>
      <c r="B1285" s="1" t="s">
        <v>24</v>
      </c>
    </row>
    <row r="1286" spans="1:2" x14ac:dyDescent="0.35">
      <c r="A1286" s="2">
        <v>45938</v>
      </c>
      <c r="B1286" s="1" t="s">
        <v>24</v>
      </c>
    </row>
    <row r="1287" spans="1:2" x14ac:dyDescent="0.35">
      <c r="A1287" s="2">
        <v>45938</v>
      </c>
      <c r="B1287" s="1" t="s">
        <v>28</v>
      </c>
    </row>
    <row r="1288" spans="1:2" x14ac:dyDescent="0.35">
      <c r="A1288" s="2">
        <v>45938</v>
      </c>
      <c r="B1288" s="1" t="s">
        <v>28</v>
      </c>
    </row>
    <row r="1289" spans="1:2" x14ac:dyDescent="0.35">
      <c r="A1289" s="2">
        <v>45938</v>
      </c>
      <c r="B1289" s="1" t="s">
        <v>28</v>
      </c>
    </row>
    <row r="1290" spans="1:2" x14ac:dyDescent="0.35">
      <c r="A1290" s="2">
        <v>45938</v>
      </c>
      <c r="B1290" s="1" t="s">
        <v>34</v>
      </c>
    </row>
    <row r="1291" spans="1:2" x14ac:dyDescent="0.35">
      <c r="A1291" s="2">
        <v>45938</v>
      </c>
      <c r="B1291" s="1" t="s">
        <v>34</v>
      </c>
    </row>
    <row r="1292" spans="1:2" x14ac:dyDescent="0.35">
      <c r="A1292" s="2">
        <v>45938</v>
      </c>
      <c r="B1292" s="1" t="s">
        <v>5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68</v>
      </c>
    </row>
    <row r="1295" spans="1:2" x14ac:dyDescent="0.35">
      <c r="A1295" s="2">
        <v>45938</v>
      </c>
      <c r="B1295" s="1" t="s">
        <v>5</v>
      </c>
    </row>
    <row r="1296" spans="1:2" x14ac:dyDescent="0.35">
      <c r="A1296" s="2">
        <v>45938</v>
      </c>
      <c r="B1296" s="1" t="s">
        <v>28</v>
      </c>
    </row>
    <row r="1297" spans="1:2" x14ac:dyDescent="0.35">
      <c r="A1297" s="2">
        <v>45938</v>
      </c>
      <c r="B1297" s="1" t="s">
        <v>9</v>
      </c>
    </row>
    <row r="1298" spans="1:2" x14ac:dyDescent="0.35">
      <c r="A1298" s="2">
        <v>45938</v>
      </c>
      <c r="B1298" s="1" t="s">
        <v>9</v>
      </c>
    </row>
    <row r="1299" spans="1:2" x14ac:dyDescent="0.35">
      <c r="A1299" s="2">
        <v>45938</v>
      </c>
      <c r="B1299" s="1" t="s">
        <v>5</v>
      </c>
    </row>
    <row r="1300" spans="1:2" x14ac:dyDescent="0.35">
      <c r="A1300" s="2">
        <v>45938</v>
      </c>
      <c r="B1300" s="1" t="s">
        <v>50</v>
      </c>
    </row>
    <row r="1301" spans="1:2" x14ac:dyDescent="0.35">
      <c r="A1301" s="2">
        <v>45938</v>
      </c>
      <c r="B1301" s="1" t="s">
        <v>68</v>
      </c>
    </row>
    <row r="1302" spans="1:2" x14ac:dyDescent="0.35">
      <c r="A1302" s="2">
        <v>45938</v>
      </c>
      <c r="B1302" s="1" t="s">
        <v>68</v>
      </c>
    </row>
    <row r="1303" spans="1:2" x14ac:dyDescent="0.35">
      <c r="A1303" s="2">
        <v>45939</v>
      </c>
      <c r="B1303" s="1" t="s">
        <v>5</v>
      </c>
    </row>
    <row r="1304" spans="1:2" x14ac:dyDescent="0.35">
      <c r="A1304" s="2">
        <v>45939</v>
      </c>
      <c r="B1304" s="1" t="s">
        <v>9</v>
      </c>
    </row>
    <row r="1305" spans="1:2" x14ac:dyDescent="0.35">
      <c r="A1305" s="2">
        <v>45939</v>
      </c>
      <c r="B1305" s="1" t="s">
        <v>9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9</v>
      </c>
    </row>
    <row r="1312" spans="1:2" x14ac:dyDescent="0.35">
      <c r="A1312" s="2">
        <v>45939</v>
      </c>
      <c r="B1312" s="1" t="s">
        <v>77</v>
      </c>
    </row>
    <row r="1313" spans="1:2" x14ac:dyDescent="0.35">
      <c r="A1313" s="2">
        <v>45939</v>
      </c>
      <c r="B1313" s="1" t="s">
        <v>77</v>
      </c>
    </row>
    <row r="1314" spans="1:2" x14ac:dyDescent="0.35">
      <c r="A1314" s="2">
        <v>45939</v>
      </c>
      <c r="B1314" s="1" t="s">
        <v>77</v>
      </c>
    </row>
    <row r="1315" spans="1:2" x14ac:dyDescent="0.35">
      <c r="A1315" s="2">
        <v>45939</v>
      </c>
      <c r="B1315" s="1" t="s">
        <v>34</v>
      </c>
    </row>
    <row r="1316" spans="1:2" x14ac:dyDescent="0.35">
      <c r="A1316" s="2">
        <v>45939</v>
      </c>
      <c r="B1316" s="1" t="s">
        <v>34</v>
      </c>
    </row>
    <row r="1317" spans="1:2" x14ac:dyDescent="0.35">
      <c r="A1317" s="2">
        <v>45939</v>
      </c>
      <c r="B1317" s="1" t="s">
        <v>34</v>
      </c>
    </row>
    <row r="1318" spans="1:2" x14ac:dyDescent="0.35">
      <c r="A1318" s="2">
        <v>45939</v>
      </c>
      <c r="B1318" s="1" t="s">
        <v>34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68</v>
      </c>
    </row>
    <row r="1324" spans="1:2" x14ac:dyDescent="0.35">
      <c r="A1324" s="2">
        <v>45939</v>
      </c>
      <c r="B1324" s="1" t="s">
        <v>68</v>
      </c>
    </row>
    <row r="1325" spans="1:2" x14ac:dyDescent="0.35">
      <c r="A1325" s="2">
        <v>45939</v>
      </c>
      <c r="B1325" s="1" t="s">
        <v>68</v>
      </c>
    </row>
    <row r="1326" spans="1:2" x14ac:dyDescent="0.35">
      <c r="A1326" s="2">
        <v>45939</v>
      </c>
      <c r="B1326" s="1" t="s">
        <v>68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28</v>
      </c>
    </row>
    <row r="1330" spans="1:2" x14ac:dyDescent="0.35">
      <c r="A1330" s="2">
        <v>45939</v>
      </c>
      <c r="B1330" s="1" t="s">
        <v>5</v>
      </c>
    </row>
    <row r="1331" spans="1:2" x14ac:dyDescent="0.35">
      <c r="A1331" s="2">
        <v>45939</v>
      </c>
      <c r="B1331" s="1" t="s">
        <v>33</v>
      </c>
    </row>
    <row r="1332" spans="1:2" x14ac:dyDescent="0.35">
      <c r="A1332" s="2">
        <v>45939</v>
      </c>
      <c r="B1332" s="1" t="s">
        <v>33</v>
      </c>
    </row>
    <row r="1333" spans="1:2" x14ac:dyDescent="0.35">
      <c r="A1333" s="2">
        <v>45939</v>
      </c>
      <c r="B1333" s="1" t="s">
        <v>33</v>
      </c>
    </row>
    <row r="1334" spans="1:2" x14ac:dyDescent="0.35">
      <c r="A1334" s="2">
        <v>45939</v>
      </c>
      <c r="B1334" s="1" t="s">
        <v>33</v>
      </c>
    </row>
    <row r="1335" spans="1:2" x14ac:dyDescent="0.35">
      <c r="A1335" s="2">
        <v>45939</v>
      </c>
      <c r="B1335" s="1" t="s">
        <v>33</v>
      </c>
    </row>
    <row r="1336" spans="1:2" x14ac:dyDescent="0.35">
      <c r="A1336" s="2">
        <v>45940</v>
      </c>
      <c r="B1336" s="1" t="s">
        <v>77</v>
      </c>
    </row>
    <row r="1337" spans="1:2" x14ac:dyDescent="0.35">
      <c r="A1337" s="2">
        <v>45940</v>
      </c>
      <c r="B1337" s="1" t="s">
        <v>77</v>
      </c>
    </row>
    <row r="1338" spans="1:2" x14ac:dyDescent="0.35">
      <c r="A1338" s="2">
        <v>45940</v>
      </c>
      <c r="B1338" s="1" t="s">
        <v>24</v>
      </c>
    </row>
    <row r="1339" spans="1:2" x14ac:dyDescent="0.35">
      <c r="A1339" s="2">
        <v>45940</v>
      </c>
      <c r="B1339" s="1" t="s">
        <v>34</v>
      </c>
    </row>
    <row r="1340" spans="1:2" x14ac:dyDescent="0.35">
      <c r="A1340" s="2">
        <v>45940</v>
      </c>
      <c r="B1340" s="1" t="s">
        <v>9</v>
      </c>
    </row>
    <row r="1341" spans="1:2" x14ac:dyDescent="0.35">
      <c r="A1341" s="2">
        <v>45940</v>
      </c>
      <c r="B1341" s="1" t="s">
        <v>24</v>
      </c>
    </row>
    <row r="1342" spans="1:2" x14ac:dyDescent="0.35">
      <c r="A1342" s="2">
        <v>45940</v>
      </c>
      <c r="B1342" s="1" t="s">
        <v>34</v>
      </c>
    </row>
    <row r="1343" spans="1:2" x14ac:dyDescent="0.35">
      <c r="A1343" s="2">
        <v>45940</v>
      </c>
      <c r="B1343" s="1" t="s">
        <v>9</v>
      </c>
    </row>
    <row r="1344" spans="1:2" x14ac:dyDescent="0.35">
      <c r="A1344" s="2">
        <v>45940</v>
      </c>
      <c r="B1344" s="1" t="s">
        <v>9</v>
      </c>
    </row>
    <row r="1345" spans="1:2" x14ac:dyDescent="0.35">
      <c r="A1345" s="2">
        <v>45940</v>
      </c>
      <c r="B1345" s="1" t="s">
        <v>34</v>
      </c>
    </row>
    <row r="1346" spans="1:2" x14ac:dyDescent="0.35">
      <c r="A1346" s="2">
        <v>45940</v>
      </c>
      <c r="B1346" s="1" t="s">
        <v>34</v>
      </c>
    </row>
    <row r="1347" spans="1:2" x14ac:dyDescent="0.35">
      <c r="A1347" s="2">
        <v>45940</v>
      </c>
      <c r="B1347" s="1" t="s">
        <v>34</v>
      </c>
    </row>
    <row r="1348" spans="1:2" x14ac:dyDescent="0.35">
      <c r="A1348" s="2">
        <v>45940</v>
      </c>
      <c r="B1348" s="1" t="s">
        <v>9</v>
      </c>
    </row>
    <row r="1349" spans="1:2" x14ac:dyDescent="0.35">
      <c r="A1349" s="2">
        <v>45940</v>
      </c>
      <c r="B1349" s="1" t="s">
        <v>9</v>
      </c>
    </row>
    <row r="1350" spans="1:2" x14ac:dyDescent="0.35">
      <c r="A1350" s="2">
        <v>45940</v>
      </c>
      <c r="B1350" s="1" t="s">
        <v>9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28</v>
      </c>
    </row>
    <row r="1353" spans="1:2" x14ac:dyDescent="0.35">
      <c r="A1353" s="2">
        <v>45940</v>
      </c>
      <c r="B1353" s="1" t="s">
        <v>28</v>
      </c>
    </row>
    <row r="1354" spans="1:2" x14ac:dyDescent="0.35">
      <c r="A1354" s="2">
        <v>45940</v>
      </c>
      <c r="B1354" s="1" t="s">
        <v>28</v>
      </c>
    </row>
    <row r="1355" spans="1:2" x14ac:dyDescent="0.35">
      <c r="A1355" s="2">
        <v>45940</v>
      </c>
      <c r="B1355" s="1" t="s">
        <v>22</v>
      </c>
    </row>
    <row r="1356" spans="1:2" x14ac:dyDescent="0.35">
      <c r="A1356" s="2">
        <v>45940</v>
      </c>
      <c r="B1356" s="1" t="s">
        <v>22</v>
      </c>
    </row>
    <row r="1357" spans="1:2" x14ac:dyDescent="0.35">
      <c r="A1357" s="2">
        <v>45940</v>
      </c>
      <c r="B1357" s="1" t="s">
        <v>28</v>
      </c>
    </row>
    <row r="1358" spans="1:2" x14ac:dyDescent="0.35">
      <c r="A1358" s="2">
        <v>45940</v>
      </c>
      <c r="B1358" s="1" t="s">
        <v>22</v>
      </c>
    </row>
    <row r="1359" spans="1:2" x14ac:dyDescent="0.35">
      <c r="A1359" s="2">
        <v>45940</v>
      </c>
      <c r="B1359" s="1" t="s">
        <v>22</v>
      </c>
    </row>
    <row r="1360" spans="1:2" x14ac:dyDescent="0.35">
      <c r="A1360" s="2">
        <v>45940</v>
      </c>
      <c r="B1360" s="1" t="s">
        <v>22</v>
      </c>
    </row>
    <row r="1361" spans="1:2" x14ac:dyDescent="0.35">
      <c r="A1361" s="2">
        <v>45940</v>
      </c>
      <c r="B1361" s="1" t="s">
        <v>22</v>
      </c>
    </row>
    <row r="1362" spans="1:2" x14ac:dyDescent="0.35">
      <c r="A1362" s="2">
        <v>45940</v>
      </c>
      <c r="B1362" s="1" t="s">
        <v>22</v>
      </c>
    </row>
    <row r="1363" spans="1:2" x14ac:dyDescent="0.35">
      <c r="A1363" s="2">
        <v>45940</v>
      </c>
      <c r="B1363" s="1" t="s">
        <v>22</v>
      </c>
    </row>
    <row r="1364" spans="1:2" x14ac:dyDescent="0.35">
      <c r="A1364" s="2">
        <v>45940</v>
      </c>
      <c r="B1364" s="1" t="s">
        <v>22</v>
      </c>
    </row>
    <row r="1365" spans="1:2" x14ac:dyDescent="0.35">
      <c r="A1365" s="2">
        <v>45940</v>
      </c>
      <c r="B1365" s="1" t="s">
        <v>22</v>
      </c>
    </row>
    <row r="1366" spans="1:2" x14ac:dyDescent="0.35">
      <c r="A1366" s="2">
        <v>45940</v>
      </c>
      <c r="B1366" s="1" t="s">
        <v>68</v>
      </c>
    </row>
    <row r="1367" spans="1:2" x14ac:dyDescent="0.35">
      <c r="A1367" s="2">
        <v>45940</v>
      </c>
      <c r="B1367" s="1" t="s">
        <v>68</v>
      </c>
    </row>
    <row r="1368" spans="1:2" x14ac:dyDescent="0.35">
      <c r="A1368" s="2">
        <v>45940</v>
      </c>
      <c r="B1368" s="1" t="s">
        <v>68</v>
      </c>
    </row>
    <row r="1369" spans="1:2" x14ac:dyDescent="0.35">
      <c r="A1369" s="2">
        <v>45940</v>
      </c>
      <c r="B1369" s="1" t="s">
        <v>68</v>
      </c>
    </row>
    <row r="1370" spans="1:2" x14ac:dyDescent="0.35">
      <c r="A1370" s="2">
        <v>45940</v>
      </c>
      <c r="B1370" s="1" t="s">
        <v>68</v>
      </c>
    </row>
    <row r="1371" spans="1:2" x14ac:dyDescent="0.35">
      <c r="A1371" s="2">
        <v>45940</v>
      </c>
      <c r="B1371" s="1" t="s">
        <v>24</v>
      </c>
    </row>
    <row r="1372" spans="1:2" x14ac:dyDescent="0.35">
      <c r="A1372" s="2">
        <v>45943</v>
      </c>
      <c r="B1372" s="1" t="s">
        <v>68</v>
      </c>
    </row>
    <row r="1373" spans="1:2" x14ac:dyDescent="0.35">
      <c r="A1373" s="2">
        <v>45943</v>
      </c>
      <c r="B1373" s="1" t="s">
        <v>68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5</v>
      </c>
    </row>
    <row r="1377" spans="1:2" x14ac:dyDescent="0.35">
      <c r="A1377" s="2">
        <v>45943</v>
      </c>
      <c r="B1377" s="1" t="s">
        <v>33</v>
      </c>
    </row>
    <row r="1378" spans="1:2" x14ac:dyDescent="0.35">
      <c r="A1378" s="2">
        <v>45943</v>
      </c>
      <c r="B1378" s="1" t="s">
        <v>33</v>
      </c>
    </row>
    <row r="1379" spans="1:2" x14ac:dyDescent="0.35">
      <c r="A1379" s="2">
        <v>45943</v>
      </c>
      <c r="B1379" s="1" t="s">
        <v>33</v>
      </c>
    </row>
    <row r="1380" spans="1:2" x14ac:dyDescent="0.35">
      <c r="A1380" s="2">
        <v>45943</v>
      </c>
      <c r="B1380" s="1" t="s">
        <v>33</v>
      </c>
    </row>
    <row r="1381" spans="1:2" x14ac:dyDescent="0.35">
      <c r="A1381" s="2">
        <v>45943</v>
      </c>
      <c r="B1381" s="1" t="s">
        <v>33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28</v>
      </c>
    </row>
    <row r="1386" spans="1:2" x14ac:dyDescent="0.35">
      <c r="A1386" s="2">
        <v>45943</v>
      </c>
      <c r="B1386" s="1" t="s">
        <v>28</v>
      </c>
    </row>
    <row r="1387" spans="1:2" x14ac:dyDescent="0.35">
      <c r="A1387" s="2">
        <v>45943</v>
      </c>
      <c r="B1387" s="1" t="s">
        <v>34</v>
      </c>
    </row>
    <row r="1388" spans="1:2" x14ac:dyDescent="0.35">
      <c r="A1388" s="2">
        <v>45943</v>
      </c>
      <c r="B1388" s="1" t="s">
        <v>34</v>
      </c>
    </row>
    <row r="1389" spans="1:2" x14ac:dyDescent="0.35">
      <c r="A1389" s="2">
        <v>45943</v>
      </c>
      <c r="B1389" s="1" t="s">
        <v>34</v>
      </c>
    </row>
    <row r="1390" spans="1:2" x14ac:dyDescent="0.35">
      <c r="A1390" s="2">
        <v>45943</v>
      </c>
      <c r="B1390" s="1" t="s">
        <v>34</v>
      </c>
    </row>
    <row r="1391" spans="1:2" x14ac:dyDescent="0.35">
      <c r="A1391" s="2">
        <v>45943</v>
      </c>
      <c r="B1391" s="1" t="s">
        <v>9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9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9</v>
      </c>
    </row>
    <row r="1397" spans="1:2" x14ac:dyDescent="0.35">
      <c r="A1397" s="2">
        <v>45943</v>
      </c>
      <c r="B1397" s="1" t="s">
        <v>9</v>
      </c>
    </row>
    <row r="1398" spans="1:2" x14ac:dyDescent="0.35">
      <c r="A1398" s="2">
        <v>45943</v>
      </c>
      <c r="B1398" s="1" t="s">
        <v>5</v>
      </c>
    </row>
    <row r="1399" spans="1:2" x14ac:dyDescent="0.35">
      <c r="A1399" s="2">
        <v>45943</v>
      </c>
      <c r="B1399" s="1" t="s">
        <v>5</v>
      </c>
    </row>
    <row r="1400" spans="1:2" x14ac:dyDescent="0.35">
      <c r="A1400" s="2">
        <v>45943</v>
      </c>
      <c r="B1400" s="1" t="s">
        <v>5</v>
      </c>
    </row>
    <row r="1401" spans="1:2" x14ac:dyDescent="0.35">
      <c r="A1401" s="2">
        <v>45943</v>
      </c>
      <c r="B1401" s="1" t="s">
        <v>5</v>
      </c>
    </row>
    <row r="1402" spans="1:2" x14ac:dyDescent="0.35">
      <c r="A1402" s="2">
        <v>45943</v>
      </c>
      <c r="B1402" s="1" t="s">
        <v>33</v>
      </c>
    </row>
    <row r="1403" spans="1:2" x14ac:dyDescent="0.35">
      <c r="A1403" s="2">
        <v>45943</v>
      </c>
      <c r="B1403" s="1" t="s">
        <v>9</v>
      </c>
    </row>
    <row r="1404" spans="1:2" x14ac:dyDescent="0.35">
      <c r="A1404" s="2">
        <v>45943</v>
      </c>
      <c r="B1404" s="1" t="s">
        <v>68</v>
      </c>
    </row>
    <row r="1405" spans="1:2" x14ac:dyDescent="0.35">
      <c r="A1405" s="2">
        <v>45943</v>
      </c>
      <c r="B1405" s="1" t="s">
        <v>68</v>
      </c>
    </row>
    <row r="1406" spans="1:2" x14ac:dyDescent="0.35">
      <c r="A1406" s="2">
        <v>45943</v>
      </c>
      <c r="B1406" s="1" t="s">
        <v>77</v>
      </c>
    </row>
    <row r="1407" spans="1:2" x14ac:dyDescent="0.35">
      <c r="A1407" s="2">
        <v>45943</v>
      </c>
      <c r="B1407" s="1" t="s">
        <v>77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5</v>
      </c>
    </row>
    <row r="1410" spans="1:2" x14ac:dyDescent="0.35">
      <c r="A1410" s="2">
        <v>45944</v>
      </c>
      <c r="B1410" s="1" t="s">
        <v>34</v>
      </c>
    </row>
    <row r="1411" spans="1:2" x14ac:dyDescent="0.35">
      <c r="A1411" s="2">
        <v>45944</v>
      </c>
      <c r="B1411" s="1" t="s">
        <v>34</v>
      </c>
    </row>
    <row r="1412" spans="1:2" x14ac:dyDescent="0.35">
      <c r="A1412" s="2">
        <v>45944</v>
      </c>
      <c r="B1412" s="1" t="s">
        <v>34</v>
      </c>
    </row>
    <row r="1413" spans="1:2" x14ac:dyDescent="0.35">
      <c r="A1413" s="2">
        <v>45944</v>
      </c>
      <c r="B1413" s="1" t="s">
        <v>34</v>
      </c>
    </row>
    <row r="1414" spans="1:2" x14ac:dyDescent="0.35">
      <c r="A1414" s="2">
        <v>45944</v>
      </c>
      <c r="B1414" s="1" t="s">
        <v>34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9</v>
      </c>
    </row>
    <row r="1418" spans="1:2" x14ac:dyDescent="0.35">
      <c r="A1418" s="2">
        <v>45944</v>
      </c>
      <c r="B1418" s="1" t="s">
        <v>68</v>
      </c>
    </row>
    <row r="1419" spans="1:2" x14ac:dyDescent="0.35">
      <c r="A1419" s="2">
        <v>45944</v>
      </c>
      <c r="B1419" s="1" t="s">
        <v>68</v>
      </c>
    </row>
    <row r="1420" spans="1:2" x14ac:dyDescent="0.35">
      <c r="A1420" s="2">
        <v>45944</v>
      </c>
      <c r="B1420" s="1" t="s">
        <v>68</v>
      </c>
    </row>
    <row r="1421" spans="1:2" x14ac:dyDescent="0.35">
      <c r="A1421" s="2">
        <v>45944</v>
      </c>
      <c r="B1421" s="1" t="s">
        <v>68</v>
      </c>
    </row>
    <row r="1422" spans="1:2" x14ac:dyDescent="0.35">
      <c r="A1422" s="2">
        <v>45944</v>
      </c>
      <c r="B1422" s="1" t="s">
        <v>28</v>
      </c>
    </row>
    <row r="1423" spans="1:2" x14ac:dyDescent="0.35">
      <c r="A1423" s="2">
        <v>45944</v>
      </c>
      <c r="B1423" s="1" t="s">
        <v>28</v>
      </c>
    </row>
    <row r="1424" spans="1:2" x14ac:dyDescent="0.35">
      <c r="A1424" s="2">
        <v>45944</v>
      </c>
      <c r="B1424" s="1" t="s">
        <v>28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5</v>
      </c>
    </row>
    <row r="1427" spans="1:2" x14ac:dyDescent="0.35">
      <c r="A1427" s="2">
        <v>45944</v>
      </c>
      <c r="B1427" s="1" t="s">
        <v>5</v>
      </c>
    </row>
    <row r="1428" spans="1:2" x14ac:dyDescent="0.35">
      <c r="A1428" s="2">
        <v>45944</v>
      </c>
      <c r="B1428" s="1" t="s">
        <v>5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33</v>
      </c>
    </row>
    <row r="1658" spans="1:2" x14ac:dyDescent="0.35">
      <c r="A1658" s="2">
        <v>45958</v>
      </c>
      <c r="B1658" s="1" t="s">
        <v>9</v>
      </c>
    </row>
    <row r="1659" spans="1:2" x14ac:dyDescent="0.35">
      <c r="A1659" s="2">
        <v>45958</v>
      </c>
      <c r="B1659" s="1" t="s">
        <v>9</v>
      </c>
    </row>
    <row r="1660" spans="1:2" x14ac:dyDescent="0.35">
      <c r="A1660" s="2">
        <v>45958</v>
      </c>
      <c r="B1660" s="1" t="s">
        <v>9</v>
      </c>
    </row>
    <row r="1661" spans="1:2" x14ac:dyDescent="0.35">
      <c r="A1661" s="2">
        <v>45958</v>
      </c>
      <c r="B1661" s="1" t="s">
        <v>9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77</v>
      </c>
    </row>
    <row r="1667" spans="1:2" x14ac:dyDescent="0.35">
      <c r="A1667" s="2">
        <v>45958</v>
      </c>
      <c r="B1667" s="1" t="s">
        <v>77</v>
      </c>
    </row>
    <row r="1668" spans="1:2" x14ac:dyDescent="0.35">
      <c r="A1668" s="2">
        <v>45958</v>
      </c>
      <c r="B1668" s="1" t="s">
        <v>5</v>
      </c>
    </row>
    <row r="1669" spans="1:2" x14ac:dyDescent="0.35">
      <c r="A1669" s="2">
        <v>45958</v>
      </c>
      <c r="B1669" s="1" t="s">
        <v>5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77</v>
      </c>
    </row>
    <row r="1673" spans="1:2" x14ac:dyDescent="0.35">
      <c r="A1673" s="2">
        <v>45959</v>
      </c>
      <c r="B1673" s="1" t="s">
        <v>77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5</v>
      </c>
    </row>
    <row r="1680" spans="1:2" x14ac:dyDescent="0.35">
      <c r="A1680" s="2">
        <v>45959</v>
      </c>
      <c r="B1680" s="1" t="s">
        <v>5</v>
      </c>
    </row>
    <row r="1681" spans="1:2" x14ac:dyDescent="0.35">
      <c r="A1681" s="2">
        <v>45959</v>
      </c>
      <c r="B1681" s="1" t="s">
        <v>34</v>
      </c>
    </row>
    <row r="1682" spans="1:2" x14ac:dyDescent="0.35">
      <c r="A1682" s="2">
        <v>45959</v>
      </c>
      <c r="B1682" s="1" t="s">
        <v>34</v>
      </c>
    </row>
    <row r="1683" spans="1:2" x14ac:dyDescent="0.35">
      <c r="A1683" s="2">
        <v>45959</v>
      </c>
      <c r="B1683" s="1" t="s">
        <v>34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5</v>
      </c>
    </row>
    <row r="1690" spans="1:2" x14ac:dyDescent="0.35">
      <c r="A1690" s="2">
        <v>45959</v>
      </c>
      <c r="B1690" s="1" t="s">
        <v>9</v>
      </c>
    </row>
    <row r="1691" spans="1:2" x14ac:dyDescent="0.35">
      <c r="A1691" s="2">
        <v>45959</v>
      </c>
      <c r="B1691" s="1" t="s">
        <v>9</v>
      </c>
    </row>
    <row r="1692" spans="1:2" x14ac:dyDescent="0.35">
      <c r="A1692" s="2">
        <v>45959</v>
      </c>
      <c r="B1692" s="1" t="s">
        <v>9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5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24</v>
      </c>
    </row>
    <row r="1738" spans="1:2" x14ac:dyDescent="0.35">
      <c r="A1738" s="2">
        <v>45965</v>
      </c>
      <c r="B1738" s="1" t="s">
        <v>24</v>
      </c>
    </row>
    <row r="1739" spans="1:2" x14ac:dyDescent="0.35">
      <c r="A1739" s="2">
        <v>45965</v>
      </c>
      <c r="B1739" s="1" t="s">
        <v>34</v>
      </c>
    </row>
    <row r="1740" spans="1:2" x14ac:dyDescent="0.35">
      <c r="A1740" s="2">
        <v>45965</v>
      </c>
      <c r="B1740" s="1" t="s">
        <v>34</v>
      </c>
    </row>
    <row r="1741" spans="1:2" x14ac:dyDescent="0.35">
      <c r="A1741" s="2">
        <v>45965</v>
      </c>
      <c r="B1741" s="1" t="s">
        <v>34</v>
      </c>
    </row>
    <row r="1742" spans="1:2" x14ac:dyDescent="0.35">
      <c r="A1742" s="2">
        <v>45965</v>
      </c>
      <c r="B1742" s="1" t="s">
        <v>34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28</v>
      </c>
    </row>
    <row r="1746" spans="1:2" x14ac:dyDescent="0.35">
      <c r="A1746" s="2">
        <v>45965</v>
      </c>
      <c r="B1746" s="1" t="s">
        <v>28</v>
      </c>
    </row>
    <row r="1747" spans="1:2" x14ac:dyDescent="0.35">
      <c r="A1747" s="2">
        <v>45965</v>
      </c>
      <c r="B1747" s="1" t="s">
        <v>77</v>
      </c>
    </row>
    <row r="1748" spans="1:2" x14ac:dyDescent="0.35">
      <c r="A1748" s="2">
        <v>45965</v>
      </c>
      <c r="B1748" s="1" t="s">
        <v>77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68</v>
      </c>
    </row>
    <row r="1752" spans="1:2" x14ac:dyDescent="0.35">
      <c r="A1752" s="2">
        <v>45965</v>
      </c>
      <c r="B1752" s="1" t="s">
        <v>68</v>
      </c>
    </row>
    <row r="1753" spans="1:2" x14ac:dyDescent="0.35">
      <c r="A1753" s="2">
        <v>45965</v>
      </c>
      <c r="B1753" s="1" t="s">
        <v>68</v>
      </c>
    </row>
    <row r="1754" spans="1:2" x14ac:dyDescent="0.35">
      <c r="A1754" s="2">
        <v>45965</v>
      </c>
      <c r="B1754" s="1" t="s">
        <v>68</v>
      </c>
    </row>
    <row r="1755" spans="1:2" x14ac:dyDescent="0.35">
      <c r="A1755" s="2">
        <v>45965</v>
      </c>
      <c r="B1755" s="1" t="s">
        <v>68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9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9</v>
      </c>
    </row>
    <row r="1761" spans="1:2" x14ac:dyDescent="0.35">
      <c r="A1761" s="2">
        <v>45965</v>
      </c>
      <c r="B1761" s="1" t="s">
        <v>9</v>
      </c>
    </row>
    <row r="1762" spans="1:2" x14ac:dyDescent="0.35">
      <c r="A1762" s="2">
        <v>45965</v>
      </c>
      <c r="B1762" s="1" t="s">
        <v>9</v>
      </c>
    </row>
    <row r="1763" spans="1:2" x14ac:dyDescent="0.35">
      <c r="A1763" s="2">
        <v>45965</v>
      </c>
      <c r="B1763" s="1" t="s">
        <v>5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28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68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68</v>
      </c>
    </row>
    <row r="1798" spans="1:2" x14ac:dyDescent="0.35">
      <c r="A1798" s="2">
        <v>45967</v>
      </c>
      <c r="B1798" s="1" t="s">
        <v>9</v>
      </c>
    </row>
    <row r="1799" spans="1:2" x14ac:dyDescent="0.35">
      <c r="A1799" s="2">
        <v>45967</v>
      </c>
      <c r="B1799" s="1" t="s">
        <v>9</v>
      </c>
    </row>
    <row r="1800" spans="1:2" x14ac:dyDescent="0.35">
      <c r="A1800" s="2">
        <v>45967</v>
      </c>
      <c r="B1800" s="1" t="s">
        <v>33</v>
      </c>
    </row>
    <row r="1801" spans="1:2" x14ac:dyDescent="0.35">
      <c r="A1801" s="2">
        <v>45967</v>
      </c>
      <c r="B1801" s="1" t="s">
        <v>33</v>
      </c>
    </row>
    <row r="1802" spans="1:2" x14ac:dyDescent="0.35">
      <c r="A1802" s="2">
        <v>45967</v>
      </c>
      <c r="B1802" s="1" t="s">
        <v>33</v>
      </c>
    </row>
    <row r="1803" spans="1:2" x14ac:dyDescent="0.35">
      <c r="A1803" s="2">
        <v>45967</v>
      </c>
      <c r="B1803" s="1" t="s">
        <v>33</v>
      </c>
    </row>
    <row r="1804" spans="1:2" x14ac:dyDescent="0.35">
      <c r="A1804" s="2">
        <v>45967</v>
      </c>
      <c r="B1804" s="1" t="s">
        <v>33</v>
      </c>
    </row>
    <row r="1805" spans="1:2" x14ac:dyDescent="0.35">
      <c r="A1805" s="2">
        <v>45967</v>
      </c>
      <c r="B1805" s="1" t="s">
        <v>33</v>
      </c>
    </row>
    <row r="1806" spans="1:2" x14ac:dyDescent="0.35">
      <c r="A1806" s="2">
        <v>45967</v>
      </c>
      <c r="B1806" s="1" t="s">
        <v>33</v>
      </c>
    </row>
    <row r="1807" spans="1:2" x14ac:dyDescent="0.35">
      <c r="A1807" s="2">
        <v>45967</v>
      </c>
      <c r="B1807" s="1" t="s">
        <v>68</v>
      </c>
    </row>
    <row r="1808" spans="1:2" x14ac:dyDescent="0.35">
      <c r="A1808" s="2">
        <v>45967</v>
      </c>
      <c r="B1808" s="1" t="s">
        <v>68</v>
      </c>
    </row>
    <row r="1809" spans="1:2" x14ac:dyDescent="0.35">
      <c r="A1809" s="2">
        <v>45967</v>
      </c>
      <c r="B1809" s="1" t="s">
        <v>68</v>
      </c>
    </row>
    <row r="1810" spans="1:2" x14ac:dyDescent="0.35">
      <c r="A1810" s="2">
        <v>45967</v>
      </c>
      <c r="B1810" s="1" t="s">
        <v>9</v>
      </c>
    </row>
    <row r="1811" spans="1:2" x14ac:dyDescent="0.35">
      <c r="A1811" s="2">
        <v>45967</v>
      </c>
      <c r="B1811" s="1" t="s">
        <v>68</v>
      </c>
    </row>
    <row r="1812" spans="1:2" x14ac:dyDescent="0.35">
      <c r="A1812" s="2">
        <v>45967</v>
      </c>
      <c r="B1812" s="1" t="s">
        <v>68</v>
      </c>
    </row>
    <row r="1813" spans="1:2" x14ac:dyDescent="0.35">
      <c r="A1813" s="2">
        <v>45967</v>
      </c>
      <c r="B1813" s="1" t="s">
        <v>68</v>
      </c>
    </row>
    <row r="1814" spans="1:2" x14ac:dyDescent="0.35">
      <c r="A1814" s="2">
        <v>45967</v>
      </c>
      <c r="B1814" s="1" t="s">
        <v>68</v>
      </c>
    </row>
    <row r="1815" spans="1:2" x14ac:dyDescent="0.35">
      <c r="A1815" s="2">
        <v>45967</v>
      </c>
      <c r="B1815" s="1" t="s">
        <v>68</v>
      </c>
    </row>
    <row r="1816" spans="1:2" x14ac:dyDescent="0.35">
      <c r="A1816" s="2">
        <v>45967</v>
      </c>
      <c r="B1816" s="1" t="s">
        <v>77</v>
      </c>
    </row>
    <row r="1817" spans="1:2" x14ac:dyDescent="0.35">
      <c r="A1817" s="2">
        <v>45967</v>
      </c>
      <c r="B1817" s="1" t="s">
        <v>77</v>
      </c>
    </row>
    <row r="1818" spans="1:2" x14ac:dyDescent="0.35">
      <c r="A1818" s="2">
        <v>45967</v>
      </c>
      <c r="B1818" s="1" t="s">
        <v>77</v>
      </c>
    </row>
    <row r="1819" spans="1:2" x14ac:dyDescent="0.35">
      <c r="A1819" s="2">
        <v>45967</v>
      </c>
      <c r="B1819" s="1" t="s">
        <v>34</v>
      </c>
    </row>
    <row r="1820" spans="1:2" x14ac:dyDescent="0.35">
      <c r="A1820" s="2">
        <v>45967</v>
      </c>
      <c r="B1820" s="1" t="s">
        <v>34</v>
      </c>
    </row>
    <row r="1821" spans="1:2" x14ac:dyDescent="0.35">
      <c r="A1821" s="2">
        <v>45967</v>
      </c>
      <c r="B1821" s="1" t="s">
        <v>34</v>
      </c>
    </row>
    <row r="1822" spans="1:2" x14ac:dyDescent="0.35">
      <c r="A1822" s="2">
        <v>45967</v>
      </c>
      <c r="B1822" s="1" t="s">
        <v>34</v>
      </c>
    </row>
    <row r="1823" spans="1:2" x14ac:dyDescent="0.35">
      <c r="A1823" s="2">
        <v>45967</v>
      </c>
      <c r="B1823" s="1" t="s">
        <v>34</v>
      </c>
    </row>
    <row r="1824" spans="1:2" x14ac:dyDescent="0.35">
      <c r="A1824" s="2">
        <v>45967</v>
      </c>
      <c r="B1824" s="1" t="s">
        <v>24</v>
      </c>
    </row>
    <row r="1825" spans="1:2" x14ac:dyDescent="0.35">
      <c r="A1825" s="2">
        <v>45967</v>
      </c>
      <c r="B1825" s="1" t="s">
        <v>24</v>
      </c>
    </row>
    <row r="1826" spans="1:2" x14ac:dyDescent="0.35">
      <c r="A1826" s="2">
        <v>45967</v>
      </c>
      <c r="B1826" s="1" t="s">
        <v>24</v>
      </c>
    </row>
    <row r="1827" spans="1:2" x14ac:dyDescent="0.35">
      <c r="A1827" s="2">
        <v>45967</v>
      </c>
      <c r="B1827" s="1" t="s">
        <v>24</v>
      </c>
    </row>
    <row r="1828" spans="1:2" x14ac:dyDescent="0.35">
      <c r="A1828" s="2">
        <v>45967</v>
      </c>
      <c r="B1828" s="1" t="s">
        <v>24</v>
      </c>
    </row>
    <row r="1829" spans="1:2" x14ac:dyDescent="0.35">
      <c r="A1829" s="2">
        <v>45967</v>
      </c>
      <c r="B1829" s="1" t="s">
        <v>24</v>
      </c>
    </row>
    <row r="1830" spans="1:2" x14ac:dyDescent="0.35">
      <c r="A1830" s="2">
        <v>45967</v>
      </c>
      <c r="B1830" s="1" t="s">
        <v>24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24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9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5</v>
      </c>
    </row>
    <row r="1847" spans="1:2" x14ac:dyDescent="0.35">
      <c r="A1847" s="2">
        <v>45971</v>
      </c>
      <c r="B1847" s="1" t="s">
        <v>9</v>
      </c>
    </row>
    <row r="1848" spans="1:2" x14ac:dyDescent="0.35">
      <c r="A1848" s="2">
        <v>45971</v>
      </c>
      <c r="B1848" s="1" t="s">
        <v>9</v>
      </c>
    </row>
    <row r="1849" spans="1:2" x14ac:dyDescent="0.35">
      <c r="A1849" s="2">
        <v>45971</v>
      </c>
      <c r="B1849" s="1" t="s">
        <v>24</v>
      </c>
    </row>
    <row r="1850" spans="1:2" x14ac:dyDescent="0.35">
      <c r="A1850" s="2">
        <v>45971</v>
      </c>
      <c r="B1850" s="1" t="s">
        <v>34</v>
      </c>
    </row>
    <row r="1851" spans="1:2" x14ac:dyDescent="0.35">
      <c r="A1851" s="2">
        <v>45971</v>
      </c>
      <c r="B1851" s="1" t="s">
        <v>34</v>
      </c>
    </row>
    <row r="1852" spans="1:2" x14ac:dyDescent="0.35">
      <c r="A1852" s="2">
        <v>45971</v>
      </c>
      <c r="B1852" s="1" t="s">
        <v>34</v>
      </c>
    </row>
    <row r="1853" spans="1:2" x14ac:dyDescent="0.35">
      <c r="A1853" s="2">
        <v>45971</v>
      </c>
      <c r="B1853" s="1" t="s">
        <v>34</v>
      </c>
    </row>
    <row r="1854" spans="1:2" x14ac:dyDescent="0.35">
      <c r="A1854" s="2">
        <v>45971</v>
      </c>
      <c r="B1854" s="1" t="s">
        <v>34</v>
      </c>
    </row>
    <row r="1855" spans="1:2" x14ac:dyDescent="0.35">
      <c r="A1855" s="2">
        <v>45971</v>
      </c>
      <c r="B1855" s="1" t="s">
        <v>34</v>
      </c>
    </row>
    <row r="1856" spans="1:2" x14ac:dyDescent="0.35">
      <c r="A1856" s="2">
        <v>45971</v>
      </c>
      <c r="B1856" s="1" t="s">
        <v>34</v>
      </c>
    </row>
    <row r="1857" spans="1:2" x14ac:dyDescent="0.35">
      <c r="A1857" s="2">
        <v>45971</v>
      </c>
      <c r="B1857" s="1" t="s">
        <v>34</v>
      </c>
    </row>
    <row r="1858" spans="1:2" x14ac:dyDescent="0.35">
      <c r="A1858" s="2">
        <v>45971</v>
      </c>
      <c r="B1858" s="1" t="s">
        <v>34</v>
      </c>
    </row>
    <row r="1859" spans="1:2" x14ac:dyDescent="0.35">
      <c r="A1859" s="2">
        <v>45971</v>
      </c>
      <c r="B1859" s="1" t="s">
        <v>34</v>
      </c>
    </row>
    <row r="1860" spans="1:2" x14ac:dyDescent="0.35">
      <c r="A1860" s="2">
        <v>45971</v>
      </c>
      <c r="B1860" s="1" t="s">
        <v>34</v>
      </c>
    </row>
    <row r="1861" spans="1:2" x14ac:dyDescent="0.35">
      <c r="A1861" s="2">
        <v>45971</v>
      </c>
      <c r="B1861" s="1" t="s">
        <v>5</v>
      </c>
    </row>
    <row r="1862" spans="1:2" x14ac:dyDescent="0.35">
      <c r="A1862" s="2">
        <v>45971</v>
      </c>
      <c r="B1862" s="1" t="s">
        <v>9</v>
      </c>
    </row>
    <row r="1863" spans="1:2" x14ac:dyDescent="0.35">
      <c r="A1863" s="2">
        <v>45971</v>
      </c>
      <c r="B1863" s="1" t="s">
        <v>33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33</v>
      </c>
    </row>
    <row r="1866" spans="1:2" x14ac:dyDescent="0.35">
      <c r="A1866" s="2">
        <v>45971</v>
      </c>
      <c r="B1866" s="1" t="s">
        <v>22</v>
      </c>
    </row>
    <row r="1867" spans="1:2" x14ac:dyDescent="0.35">
      <c r="A1867" s="2">
        <v>45971</v>
      </c>
      <c r="B1867" s="1" t="s">
        <v>22</v>
      </c>
    </row>
    <row r="1868" spans="1:2" x14ac:dyDescent="0.35">
      <c r="A1868" s="2">
        <v>45971</v>
      </c>
      <c r="B1868" s="1" t="s">
        <v>22</v>
      </c>
    </row>
    <row r="1869" spans="1:2" x14ac:dyDescent="0.35">
      <c r="A1869" s="2">
        <v>45971</v>
      </c>
      <c r="B1869" s="1" t="s">
        <v>22</v>
      </c>
    </row>
    <row r="1870" spans="1:2" x14ac:dyDescent="0.35">
      <c r="A1870" s="2">
        <v>45971</v>
      </c>
      <c r="B1870" s="1" t="s">
        <v>22</v>
      </c>
    </row>
    <row r="1871" spans="1:2" x14ac:dyDescent="0.35">
      <c r="A1871" s="2">
        <v>45971</v>
      </c>
      <c r="B1871" s="1" t="s">
        <v>22</v>
      </c>
    </row>
    <row r="1872" spans="1:2" x14ac:dyDescent="0.35">
      <c r="A1872" s="2">
        <v>45971</v>
      </c>
      <c r="B1872" s="1" t="s">
        <v>22</v>
      </c>
    </row>
    <row r="1873" spans="1:2" x14ac:dyDescent="0.35">
      <c r="A1873" s="2">
        <v>45971</v>
      </c>
      <c r="B1873" s="1" t="s">
        <v>22</v>
      </c>
    </row>
    <row r="1874" spans="1:2" x14ac:dyDescent="0.35">
      <c r="A1874" s="2">
        <v>45971</v>
      </c>
      <c r="B1874" s="1" t="s">
        <v>22</v>
      </c>
    </row>
    <row r="1875" spans="1:2" x14ac:dyDescent="0.35">
      <c r="A1875" s="2">
        <v>45971</v>
      </c>
      <c r="B1875" s="1" t="s">
        <v>22</v>
      </c>
    </row>
    <row r="1876" spans="1:2" x14ac:dyDescent="0.35">
      <c r="A1876" s="2">
        <v>45971</v>
      </c>
      <c r="B1876" s="1" t="s">
        <v>22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9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9</v>
      </c>
    </row>
    <row r="1883" spans="1:2" x14ac:dyDescent="0.35">
      <c r="A1883" s="2">
        <v>45971</v>
      </c>
      <c r="B1883" s="1" t="s">
        <v>22</v>
      </c>
    </row>
    <row r="1884" spans="1:2" x14ac:dyDescent="0.35">
      <c r="A1884" s="2">
        <v>45971</v>
      </c>
      <c r="B1884" s="1" t="s">
        <v>24</v>
      </c>
    </row>
    <row r="1885" spans="1:2" x14ac:dyDescent="0.35">
      <c r="A1885" s="2">
        <v>45971</v>
      </c>
      <c r="B1885" s="1" t="s">
        <v>24</v>
      </c>
    </row>
    <row r="1886" spans="1:2" x14ac:dyDescent="0.35">
      <c r="A1886" s="2">
        <v>45971</v>
      </c>
      <c r="B1886" s="1" t="s">
        <v>24</v>
      </c>
    </row>
    <row r="1887" spans="1:2" x14ac:dyDescent="0.35">
      <c r="A1887" s="2">
        <v>45971</v>
      </c>
      <c r="B1887" s="1" t="s">
        <v>24</v>
      </c>
    </row>
    <row r="1888" spans="1:2" x14ac:dyDescent="0.35">
      <c r="A1888" s="2">
        <v>45971</v>
      </c>
      <c r="B1888" s="1" t="s">
        <v>24</v>
      </c>
    </row>
    <row r="1889" spans="1:2" x14ac:dyDescent="0.35">
      <c r="A1889" s="2">
        <v>45971</v>
      </c>
      <c r="B1889" s="1" t="s">
        <v>24</v>
      </c>
    </row>
    <row r="1890" spans="1:2" x14ac:dyDescent="0.35">
      <c r="A1890" s="2">
        <v>45971</v>
      </c>
      <c r="B1890" s="1" t="s">
        <v>68</v>
      </c>
    </row>
    <row r="1891" spans="1:2" x14ac:dyDescent="0.35">
      <c r="A1891" s="2">
        <v>45971</v>
      </c>
      <c r="B1891" s="1" t="s">
        <v>68</v>
      </c>
    </row>
    <row r="1892" spans="1:2" x14ac:dyDescent="0.35">
      <c r="A1892" s="2">
        <v>45971</v>
      </c>
      <c r="B1892" s="1" t="s">
        <v>68</v>
      </c>
    </row>
    <row r="1893" spans="1:2" x14ac:dyDescent="0.35">
      <c r="A1893" s="2">
        <v>45971</v>
      </c>
      <c r="B1893" s="1" t="s">
        <v>24</v>
      </c>
    </row>
    <row r="1894" spans="1:2" x14ac:dyDescent="0.35">
      <c r="A1894" s="2">
        <v>45971</v>
      </c>
      <c r="B1894" s="1" t="s">
        <v>24</v>
      </c>
    </row>
    <row r="1895" spans="1:2" x14ac:dyDescent="0.35">
      <c r="A1895" s="2">
        <v>45971</v>
      </c>
      <c r="B1895" s="1" t="s">
        <v>9</v>
      </c>
    </row>
    <row r="1896" spans="1:2" x14ac:dyDescent="0.35">
      <c r="A1896" s="2">
        <v>45971</v>
      </c>
      <c r="B1896" s="1" t="s">
        <v>9</v>
      </c>
    </row>
    <row r="1897" spans="1:2" x14ac:dyDescent="0.35">
      <c r="A1897" s="2">
        <v>45971</v>
      </c>
      <c r="B1897" s="1" t="s">
        <v>9</v>
      </c>
    </row>
    <row r="1898" spans="1:2" x14ac:dyDescent="0.35">
      <c r="A1898" s="2">
        <v>45971</v>
      </c>
      <c r="B1898" s="1" t="s">
        <v>9</v>
      </c>
    </row>
    <row r="1899" spans="1:2" x14ac:dyDescent="0.35">
      <c r="A1899" s="2">
        <v>45971</v>
      </c>
      <c r="B1899" s="1" t="s">
        <v>24</v>
      </c>
    </row>
    <row r="1900" spans="1:2" x14ac:dyDescent="0.35">
      <c r="A1900" s="2">
        <v>45971</v>
      </c>
      <c r="B1900" s="1" t="s">
        <v>24</v>
      </c>
    </row>
    <row r="1901" spans="1:2" x14ac:dyDescent="0.35">
      <c r="A1901" s="2">
        <v>45971</v>
      </c>
      <c r="B1901" s="1" t="s">
        <v>24</v>
      </c>
    </row>
    <row r="1902" spans="1:2" x14ac:dyDescent="0.35">
      <c r="A1902" s="2">
        <v>45972</v>
      </c>
      <c r="B1902" s="1" t="s">
        <v>24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33</v>
      </c>
    </row>
    <row r="1910" spans="1:2" x14ac:dyDescent="0.35">
      <c r="A1910" s="2">
        <v>45972</v>
      </c>
      <c r="B1910" s="1" t="s">
        <v>22</v>
      </c>
    </row>
    <row r="1911" spans="1:2" x14ac:dyDescent="0.35">
      <c r="A1911" s="2">
        <v>45972</v>
      </c>
      <c r="B1911" s="1" t="s">
        <v>22</v>
      </c>
    </row>
    <row r="1912" spans="1:2" x14ac:dyDescent="0.35">
      <c r="A1912" s="2">
        <v>45972</v>
      </c>
      <c r="B1912" s="1" t="s">
        <v>22</v>
      </c>
    </row>
    <row r="1913" spans="1:2" x14ac:dyDescent="0.35">
      <c r="A1913" s="2">
        <v>45972</v>
      </c>
      <c r="B1913" s="1" t="s">
        <v>22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68</v>
      </c>
    </row>
    <row r="1917" spans="1:2" x14ac:dyDescent="0.35">
      <c r="A1917" s="2">
        <v>45972</v>
      </c>
      <c r="B1917" s="1" t="s">
        <v>68</v>
      </c>
    </row>
    <row r="1918" spans="1:2" x14ac:dyDescent="0.35">
      <c r="A1918" s="2">
        <v>45972</v>
      </c>
      <c r="B1918" s="1" t="s">
        <v>68</v>
      </c>
    </row>
    <row r="1919" spans="1:2" x14ac:dyDescent="0.35">
      <c r="A1919" s="2">
        <v>45972</v>
      </c>
      <c r="B1919" s="1" t="s">
        <v>68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34</v>
      </c>
    </row>
    <row r="2142" spans="1:2" x14ac:dyDescent="0.35">
      <c r="A2142" s="2">
        <v>46077</v>
      </c>
      <c r="B2142" s="1" t="s">
        <v>34</v>
      </c>
    </row>
    <row r="2143" spans="1:2" x14ac:dyDescent="0.35">
      <c r="A2143" s="2">
        <v>46077</v>
      </c>
      <c r="B2143" s="1" t="s">
        <v>34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22</v>
      </c>
    </row>
    <row r="2149" spans="1:2" x14ac:dyDescent="0.35">
      <c r="A2149" s="2">
        <v>46077</v>
      </c>
      <c r="B2149" s="1" t="s">
        <v>22</v>
      </c>
    </row>
    <row r="2150" spans="1:2" x14ac:dyDescent="0.35">
      <c r="A2150" s="2">
        <v>46077</v>
      </c>
      <c r="B2150" s="1" t="s">
        <v>22</v>
      </c>
    </row>
    <row r="2151" spans="1:2" x14ac:dyDescent="0.35">
      <c r="A2151" s="2">
        <v>46077</v>
      </c>
      <c r="B2151" s="1" t="s">
        <v>22</v>
      </c>
    </row>
    <row r="2152" spans="1:2" x14ac:dyDescent="0.35">
      <c r="A2152" s="2">
        <v>46077</v>
      </c>
      <c r="B2152" s="1" t="s">
        <v>22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9</v>
      </c>
    </row>
    <row r="2158" spans="1:2" x14ac:dyDescent="0.35">
      <c r="A2158" s="2">
        <v>46077</v>
      </c>
      <c r="B2158" s="1" t="s">
        <v>9</v>
      </c>
    </row>
    <row r="2159" spans="1:2" x14ac:dyDescent="0.35">
      <c r="A2159" s="2">
        <v>46077</v>
      </c>
      <c r="B2159" s="1" t="s">
        <v>9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9</v>
      </c>
    </row>
    <row r="2162" spans="1:2" x14ac:dyDescent="0.35">
      <c r="A2162" s="2">
        <v>46077</v>
      </c>
      <c r="B2162" s="1" t="s">
        <v>34</v>
      </c>
    </row>
    <row r="2163" spans="1:2" x14ac:dyDescent="0.35">
      <c r="A2163" s="2">
        <v>46077</v>
      </c>
      <c r="B2163" s="1" t="s">
        <v>34</v>
      </c>
    </row>
    <row r="2164" spans="1:2" x14ac:dyDescent="0.35">
      <c r="A2164" s="2">
        <v>46083</v>
      </c>
      <c r="B2164" s="1" t="s">
        <v>9</v>
      </c>
    </row>
    <row r="2165" spans="1:2" x14ac:dyDescent="0.35">
      <c r="A2165" s="2">
        <v>46083</v>
      </c>
      <c r="B2165" s="1" t="s">
        <v>9</v>
      </c>
    </row>
    <row r="2166" spans="1:2" x14ac:dyDescent="0.35">
      <c r="A2166" s="2">
        <v>46083</v>
      </c>
      <c r="B2166" s="1" t="s">
        <v>9</v>
      </c>
    </row>
    <row r="2167" spans="1:2" x14ac:dyDescent="0.35">
      <c r="A2167" s="2">
        <v>46083</v>
      </c>
      <c r="B2167" s="1" t="s">
        <v>9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33</v>
      </c>
    </row>
    <row r="2170" spans="1:2" x14ac:dyDescent="0.35">
      <c r="A2170" s="2">
        <v>46083</v>
      </c>
      <c r="B2170" s="1" t="s">
        <v>33</v>
      </c>
    </row>
    <row r="2171" spans="1:2" x14ac:dyDescent="0.35">
      <c r="A2171" s="2">
        <v>46083</v>
      </c>
      <c r="B2171" s="1" t="s">
        <v>33</v>
      </c>
    </row>
    <row r="2172" spans="1:2" x14ac:dyDescent="0.35">
      <c r="A2172" s="2">
        <v>46083</v>
      </c>
      <c r="B2172" s="1" t="s">
        <v>33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9</v>
      </c>
    </row>
    <row r="2176" spans="1:2" x14ac:dyDescent="0.35">
      <c r="A2176" s="2">
        <v>46084</v>
      </c>
      <c r="B2176" s="1" t="s">
        <v>9</v>
      </c>
    </row>
    <row r="2177" spans="1:2" x14ac:dyDescent="0.35">
      <c r="A2177" s="2">
        <v>46084</v>
      </c>
      <c r="B2177" s="1" t="s">
        <v>33</v>
      </c>
    </row>
    <row r="2178" spans="1:2" x14ac:dyDescent="0.35">
      <c r="A2178" s="2">
        <v>46084</v>
      </c>
      <c r="B2178" s="1" t="s">
        <v>33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9</v>
      </c>
    </row>
    <row r="2181" spans="1:2" x14ac:dyDescent="0.35">
      <c r="A2181" s="2">
        <v>46086</v>
      </c>
      <c r="B2181" s="1" t="s">
        <v>9</v>
      </c>
    </row>
    <row r="2182" spans="1:2" x14ac:dyDescent="0.35">
      <c r="A2182" s="2">
        <v>46086</v>
      </c>
      <c r="B2182" s="1" t="s">
        <v>9</v>
      </c>
    </row>
    <row r="2183" spans="1:2" x14ac:dyDescent="0.35">
      <c r="A2183" s="2">
        <v>46086</v>
      </c>
      <c r="B2183" s="1" t="s">
        <v>9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33</v>
      </c>
    </row>
    <row r="2186" spans="1:2" x14ac:dyDescent="0.35">
      <c r="A2186" s="2">
        <v>46086</v>
      </c>
      <c r="B2186" s="1" t="s">
        <v>33</v>
      </c>
    </row>
    <row r="2187" spans="1:2" x14ac:dyDescent="0.35">
      <c r="A2187" s="2">
        <v>46086</v>
      </c>
      <c r="B2187" s="1" t="s">
        <v>33</v>
      </c>
    </row>
    <row r="2188" spans="1:2" x14ac:dyDescent="0.35">
      <c r="A2188" s="2">
        <v>46086</v>
      </c>
      <c r="B2188" s="1" t="s">
        <v>9</v>
      </c>
    </row>
    <row r="2189" spans="1:2" x14ac:dyDescent="0.35">
      <c r="A2189" s="2">
        <v>46086</v>
      </c>
      <c r="B2189" s="1" t="s">
        <v>83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83</v>
      </c>
    </row>
    <row r="2195" spans="1:2" x14ac:dyDescent="0.35">
      <c r="A2195" s="2">
        <v>46086</v>
      </c>
      <c r="B2195" s="1" t="s">
        <v>83</v>
      </c>
    </row>
    <row r="2196" spans="1:2" x14ac:dyDescent="0.35">
      <c r="A2196" s="2">
        <v>46086</v>
      </c>
      <c r="B2196" s="1" t="s">
        <v>83</v>
      </c>
    </row>
    <row r="2197" spans="1:2" x14ac:dyDescent="0.35">
      <c r="A2197" s="2">
        <v>46086</v>
      </c>
      <c r="B2197" s="1" t="s">
        <v>22</v>
      </c>
    </row>
    <row r="2198" spans="1:2" x14ac:dyDescent="0.35">
      <c r="A2198" s="2">
        <v>46086</v>
      </c>
      <c r="B2198" s="1" t="s">
        <v>22</v>
      </c>
    </row>
    <row r="2199" spans="1:2" x14ac:dyDescent="0.35">
      <c r="A2199" s="2">
        <v>46086</v>
      </c>
      <c r="B2199" s="1" t="s">
        <v>22</v>
      </c>
    </row>
    <row r="2200" spans="1:2" x14ac:dyDescent="0.35">
      <c r="A2200" s="2">
        <v>46086</v>
      </c>
      <c r="B2200" s="1" t="s">
        <v>24</v>
      </c>
    </row>
    <row r="2201" spans="1:2" x14ac:dyDescent="0.35">
      <c r="A2201" s="2">
        <v>46087</v>
      </c>
      <c r="B2201" s="1" t="s">
        <v>28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5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22</v>
      </c>
    </row>
    <row r="2217" spans="1:2" x14ac:dyDescent="0.35">
      <c r="A2217" s="2">
        <v>46092</v>
      </c>
      <c r="B2217" s="1" t="s">
        <v>22</v>
      </c>
    </row>
    <row r="2218" spans="1:2" x14ac:dyDescent="0.35">
      <c r="A2218" s="2">
        <v>46092</v>
      </c>
      <c r="B2218" s="1" t="s">
        <v>22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33</v>
      </c>
    </row>
    <row r="2227" spans="1:2" x14ac:dyDescent="0.35">
      <c r="A2227" s="2">
        <v>46092</v>
      </c>
      <c r="B2227" s="1" t="s">
        <v>33</v>
      </c>
    </row>
    <row r="2228" spans="1:2" x14ac:dyDescent="0.35">
      <c r="A2228" s="2">
        <v>46092</v>
      </c>
      <c r="B2228" s="1" t="s">
        <v>33</v>
      </c>
    </row>
    <row r="2229" spans="1:2" x14ac:dyDescent="0.35">
      <c r="A2229" s="2">
        <v>46093</v>
      </c>
      <c r="B2229" s="1" t="s">
        <v>24</v>
      </c>
    </row>
    <row r="2230" spans="1:2" x14ac:dyDescent="0.35">
      <c r="A2230" s="2">
        <v>46093</v>
      </c>
      <c r="B2230" s="1" t="s">
        <v>24</v>
      </c>
    </row>
    <row r="2231" spans="1:2" x14ac:dyDescent="0.35">
      <c r="A2231" s="2">
        <v>46093</v>
      </c>
      <c r="B2231" s="1" t="s">
        <v>24</v>
      </c>
    </row>
    <row r="2232" spans="1:2" x14ac:dyDescent="0.35">
      <c r="A2232" s="2">
        <v>46093</v>
      </c>
      <c r="B2232" s="1" t="s">
        <v>24</v>
      </c>
    </row>
    <row r="2233" spans="1:2" x14ac:dyDescent="0.35">
      <c r="A2233" s="2">
        <v>46093</v>
      </c>
      <c r="B2233" s="1" t="s">
        <v>24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24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9</v>
      </c>
    </row>
    <row r="2251" spans="1:2" x14ac:dyDescent="0.35">
      <c r="A2251" s="2">
        <v>46093</v>
      </c>
      <c r="B2251" s="1" t="s">
        <v>33</v>
      </c>
    </row>
    <row r="2252" spans="1:2" x14ac:dyDescent="0.35">
      <c r="A2252" s="2">
        <v>46093</v>
      </c>
      <c r="B2252" s="1" t="s">
        <v>28</v>
      </c>
    </row>
    <row r="2253" spans="1:2" x14ac:dyDescent="0.35">
      <c r="A2253" s="2">
        <v>46093</v>
      </c>
      <c r="B2253" s="1" t="s">
        <v>28</v>
      </c>
    </row>
    <row r="2254" spans="1:2" x14ac:dyDescent="0.35">
      <c r="A2254" s="2">
        <v>46093</v>
      </c>
      <c r="B2254" s="1" t="s">
        <v>83</v>
      </c>
    </row>
    <row r="2255" spans="1:2" x14ac:dyDescent="0.35">
      <c r="A2255" s="2">
        <v>46093</v>
      </c>
      <c r="B2255" s="1" t="s">
        <v>5</v>
      </c>
    </row>
    <row r="2256" spans="1:2" x14ac:dyDescent="0.35">
      <c r="A2256" s="2">
        <v>46093</v>
      </c>
      <c r="B2256" s="1" t="s">
        <v>9</v>
      </c>
    </row>
    <row r="2257" spans="1:2" x14ac:dyDescent="0.35">
      <c r="A2257" s="2">
        <v>46094</v>
      </c>
      <c r="B2257" s="1" t="s">
        <v>9</v>
      </c>
    </row>
    <row r="2258" spans="1:2" x14ac:dyDescent="0.35">
      <c r="A2258" s="2">
        <v>46094</v>
      </c>
      <c r="B2258" s="1" t="s">
        <v>9</v>
      </c>
    </row>
    <row r="2259" spans="1:2" x14ac:dyDescent="0.35">
      <c r="A2259" s="2">
        <v>46094</v>
      </c>
      <c r="B2259" s="1" t="s">
        <v>9</v>
      </c>
    </row>
    <row r="2260" spans="1:2" x14ac:dyDescent="0.35">
      <c r="A2260" s="2">
        <v>46094</v>
      </c>
      <c r="B2260" s="1" t="s">
        <v>9</v>
      </c>
    </row>
    <row r="2261" spans="1:2" x14ac:dyDescent="0.35">
      <c r="A2261" s="2">
        <v>46094</v>
      </c>
      <c r="B2261" s="1" t="s">
        <v>5</v>
      </c>
    </row>
    <row r="2262" spans="1:2" x14ac:dyDescent="0.35">
      <c r="A2262" s="2">
        <v>46094</v>
      </c>
      <c r="B2262" s="1" t="s">
        <v>5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33</v>
      </c>
    </row>
    <row r="2265" spans="1:2" x14ac:dyDescent="0.35">
      <c r="A2265" s="2">
        <v>46094</v>
      </c>
      <c r="B2265" s="1" t="s">
        <v>33</v>
      </c>
    </row>
    <row r="2266" spans="1:2" x14ac:dyDescent="0.35">
      <c r="A2266" s="2">
        <v>46094</v>
      </c>
      <c r="B2266" s="1" t="s">
        <v>33</v>
      </c>
    </row>
    <row r="2267" spans="1:2" x14ac:dyDescent="0.35">
      <c r="A2267" s="2">
        <v>46094</v>
      </c>
      <c r="B2267" s="1" t="s">
        <v>33</v>
      </c>
    </row>
    <row r="2268" spans="1:2" x14ac:dyDescent="0.35">
      <c r="A2268" s="2">
        <v>46094</v>
      </c>
      <c r="B2268" s="1" t="s">
        <v>33</v>
      </c>
    </row>
    <row r="2269" spans="1:2" x14ac:dyDescent="0.35">
      <c r="A2269" s="2">
        <v>46094</v>
      </c>
      <c r="B2269" s="1" t="s">
        <v>83</v>
      </c>
    </row>
    <row r="2270" spans="1:2" x14ac:dyDescent="0.35">
      <c r="A2270" s="2">
        <v>46097</v>
      </c>
      <c r="B2270" s="1" t="s">
        <v>5</v>
      </c>
    </row>
    <row r="2271" spans="1:2" x14ac:dyDescent="0.35">
      <c r="A2271" s="2">
        <v>46097</v>
      </c>
      <c r="B2271" s="1" t="s">
        <v>9</v>
      </c>
    </row>
    <row r="2272" spans="1:2" x14ac:dyDescent="0.35">
      <c r="A2272" s="2">
        <v>46097</v>
      </c>
      <c r="B2272" s="1" t="s">
        <v>9</v>
      </c>
    </row>
    <row r="2273" spans="1:2" x14ac:dyDescent="0.35">
      <c r="A2273" s="2">
        <v>46097</v>
      </c>
      <c r="B2273" s="1" t="s">
        <v>83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83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5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22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22</v>
      </c>
    </row>
    <row r="2284" spans="1:2" x14ac:dyDescent="0.35">
      <c r="A2284" s="2">
        <v>46098</v>
      </c>
      <c r="B2284" s="1" t="s">
        <v>22</v>
      </c>
    </row>
    <row r="2285" spans="1:2" x14ac:dyDescent="0.35">
      <c r="A2285" s="2">
        <v>46098</v>
      </c>
      <c r="B2285" s="1" t="s">
        <v>33</v>
      </c>
    </row>
    <row r="2286" spans="1:2" x14ac:dyDescent="0.35">
      <c r="A2286" s="2">
        <v>46098</v>
      </c>
      <c r="B2286" s="1" t="s">
        <v>33</v>
      </c>
    </row>
    <row r="2287" spans="1:2" x14ac:dyDescent="0.35">
      <c r="A2287" s="2">
        <v>46098</v>
      </c>
      <c r="B2287" s="1" t="s">
        <v>33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9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83</v>
      </c>
    </row>
    <row r="2293" spans="1:2" x14ac:dyDescent="0.35">
      <c r="A2293" s="2">
        <v>46098</v>
      </c>
      <c r="B2293" s="1" t="s">
        <v>22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5</v>
      </c>
    </row>
    <row r="2299" spans="1:2" x14ac:dyDescent="0.35">
      <c r="A2299" s="2">
        <v>46098</v>
      </c>
      <c r="B2299" s="1" t="s">
        <v>83</v>
      </c>
    </row>
    <row r="2300" spans="1:2" x14ac:dyDescent="0.35">
      <c r="A2300" s="2">
        <v>46098</v>
      </c>
      <c r="B2300" s="1" t="s">
        <v>83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22</v>
      </c>
    </row>
    <row r="2307" spans="1:2" x14ac:dyDescent="0.35">
      <c r="A2307" s="2">
        <v>46099</v>
      </c>
      <c r="B2307" s="1" t="s">
        <v>28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22</v>
      </c>
    </row>
    <row r="2310" spans="1:2" x14ac:dyDescent="0.35">
      <c r="A2310" s="2">
        <v>46099</v>
      </c>
      <c r="B2310" s="1" t="s">
        <v>28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28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9</v>
      </c>
    </row>
    <row r="2316" spans="1:2" x14ac:dyDescent="0.35">
      <c r="A2316" s="2">
        <v>46099</v>
      </c>
      <c r="B2316" s="1" t="s">
        <v>9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9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83</v>
      </c>
    </row>
    <row r="2322" spans="1:2" x14ac:dyDescent="0.35">
      <c r="A2322" s="2">
        <v>46101</v>
      </c>
      <c r="B2322" s="1" t="s">
        <v>83</v>
      </c>
    </row>
    <row r="2323" spans="1:2" x14ac:dyDescent="0.35">
      <c r="A2323" s="2">
        <v>46101</v>
      </c>
      <c r="B2323" s="1" t="s">
        <v>9</v>
      </c>
    </row>
    <row r="2324" spans="1:2" x14ac:dyDescent="0.35">
      <c r="A2324" s="2">
        <v>46101</v>
      </c>
      <c r="B2324" s="1" t="s">
        <v>9</v>
      </c>
    </row>
    <row r="2325" spans="1:2" x14ac:dyDescent="0.35">
      <c r="A2325" s="2">
        <v>46101</v>
      </c>
      <c r="B2325" s="1" t="s">
        <v>22</v>
      </c>
    </row>
    <row r="2326" spans="1:2" x14ac:dyDescent="0.35">
      <c r="A2326" s="2">
        <v>46101</v>
      </c>
      <c r="B2326" s="1" t="s">
        <v>22</v>
      </c>
    </row>
    <row r="2327" spans="1:2" x14ac:dyDescent="0.35">
      <c r="A2327" s="2">
        <v>46104</v>
      </c>
      <c r="B2327" s="1" t="s">
        <v>22</v>
      </c>
    </row>
    <row r="2328" spans="1:2" x14ac:dyDescent="0.35">
      <c r="A2328" s="2">
        <v>46104</v>
      </c>
      <c r="B2328" s="1" t="s">
        <v>22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33</v>
      </c>
    </row>
    <row r="2331" spans="1:2" x14ac:dyDescent="0.35">
      <c r="A2331" s="2">
        <v>46104</v>
      </c>
      <c r="B2331" s="1" t="s">
        <v>5</v>
      </c>
    </row>
    <row r="2332" spans="1:2" x14ac:dyDescent="0.35">
      <c r="A2332" s="2">
        <v>46104</v>
      </c>
      <c r="B2332" s="1" t="s">
        <v>5</v>
      </c>
    </row>
    <row r="2333" spans="1:2" x14ac:dyDescent="0.35">
      <c r="A2333" s="2">
        <v>46104</v>
      </c>
      <c r="B2333" s="1" t="s">
        <v>5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22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33</v>
      </c>
    </row>
    <row r="2340" spans="1:2" x14ac:dyDescent="0.35">
      <c r="A2340" s="2">
        <v>46104</v>
      </c>
      <c r="B2340" s="1" t="s">
        <v>22</v>
      </c>
    </row>
    <row r="2341" spans="1:2" x14ac:dyDescent="0.35">
      <c r="A2341" s="2">
        <v>46104</v>
      </c>
      <c r="B2341" s="1" t="s">
        <v>22</v>
      </c>
    </row>
    <row r="2342" spans="1:2" x14ac:dyDescent="0.35">
      <c r="A2342" s="2">
        <v>46105</v>
      </c>
      <c r="B2342" s="1" t="s">
        <v>9</v>
      </c>
    </row>
    <row r="2343" spans="1:2" x14ac:dyDescent="0.35">
      <c r="A2343" s="2">
        <v>46105</v>
      </c>
      <c r="B2343" s="1" t="s">
        <v>5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33</v>
      </c>
    </row>
    <row r="2346" spans="1:2" x14ac:dyDescent="0.35">
      <c r="A2346" s="2">
        <v>46105</v>
      </c>
      <c r="B2346" s="1" t="s">
        <v>33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28</v>
      </c>
    </row>
    <row r="2352" spans="1:2" x14ac:dyDescent="0.35">
      <c r="A2352" s="2">
        <v>46105</v>
      </c>
      <c r="B2352" s="1" t="s">
        <v>22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5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83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22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28</v>
      </c>
    </row>
    <row r="2367" spans="1:2" x14ac:dyDescent="0.35">
      <c r="A2367" s="2">
        <v>46111</v>
      </c>
      <c r="B2367" s="1" t="s">
        <v>28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22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83</v>
      </c>
    </row>
    <row r="2375" spans="1:2" x14ac:dyDescent="0.35">
      <c r="A2375" s="2">
        <v>46111</v>
      </c>
      <c r="B2375" s="1" t="s">
        <v>28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9</v>
      </c>
    </row>
    <row r="2378" spans="1:2" x14ac:dyDescent="0.35">
      <c r="A2378" s="2">
        <v>46111</v>
      </c>
      <c r="B2378" s="1" t="s">
        <v>9</v>
      </c>
    </row>
    <row r="2379" spans="1:2" x14ac:dyDescent="0.35">
      <c r="A2379" s="2">
        <v>46111</v>
      </c>
      <c r="B2379" s="1" t="s">
        <v>9</v>
      </c>
    </row>
    <row r="2380" spans="1:2" x14ac:dyDescent="0.35">
      <c r="A2380" s="2">
        <v>46111</v>
      </c>
      <c r="B2380" s="1" t="s">
        <v>83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22</v>
      </c>
    </row>
    <row r="2383" spans="1:2" x14ac:dyDescent="0.35">
      <c r="A2383" s="2">
        <v>46111</v>
      </c>
      <c r="B2383" s="1" t="s">
        <v>22</v>
      </c>
    </row>
    <row r="2384" spans="1:2" x14ac:dyDescent="0.35">
      <c r="A2384" s="2">
        <v>46111</v>
      </c>
      <c r="B2384" s="1" t="s">
        <v>22</v>
      </c>
    </row>
    <row r="2385" spans="1:2" x14ac:dyDescent="0.35">
      <c r="A2385" s="2">
        <v>46111</v>
      </c>
      <c r="B2385" s="1" t="s">
        <v>22</v>
      </c>
    </row>
    <row r="2386" spans="1:2" x14ac:dyDescent="0.35">
      <c r="A2386" s="2">
        <v>46111</v>
      </c>
      <c r="B2386" s="1" t="s">
        <v>22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28</v>
      </c>
    </row>
    <row r="2391" spans="1:2" x14ac:dyDescent="0.35">
      <c r="A2391" s="2">
        <v>46113</v>
      </c>
      <c r="B2391" s="1" t="s">
        <v>22</v>
      </c>
    </row>
    <row r="2392" spans="1:2" x14ac:dyDescent="0.35">
      <c r="A2392" s="2">
        <v>46113</v>
      </c>
      <c r="B2392" s="1" t="s">
        <v>22</v>
      </c>
    </row>
    <row r="2393" spans="1:2" x14ac:dyDescent="0.35">
      <c r="A2393" s="2">
        <v>46113</v>
      </c>
      <c r="B2393" s="1" t="s">
        <v>22</v>
      </c>
    </row>
    <row r="2394" spans="1:2" x14ac:dyDescent="0.35">
      <c r="A2394" s="2">
        <v>46113</v>
      </c>
      <c r="B2394" s="1" t="s">
        <v>22</v>
      </c>
    </row>
    <row r="2395" spans="1:2" x14ac:dyDescent="0.35">
      <c r="A2395" s="2">
        <v>46113</v>
      </c>
      <c r="B2395" s="1" t="s">
        <v>28</v>
      </c>
    </row>
    <row r="2396" spans="1:2" x14ac:dyDescent="0.35">
      <c r="A2396" s="2">
        <v>46113</v>
      </c>
      <c r="B2396" s="1" t="s">
        <v>34</v>
      </c>
    </row>
    <row r="2397" spans="1:2" x14ac:dyDescent="0.35">
      <c r="A2397" s="2">
        <v>46113</v>
      </c>
      <c r="B2397" s="1" t="s">
        <v>22</v>
      </c>
    </row>
    <row r="2398" spans="1:2" x14ac:dyDescent="0.35">
      <c r="A2398" s="2">
        <v>46113</v>
      </c>
      <c r="B2398" s="1" t="s">
        <v>83</v>
      </c>
    </row>
    <row r="2399" spans="1:2" x14ac:dyDescent="0.35">
      <c r="A2399" s="2">
        <v>46113</v>
      </c>
      <c r="B2399" s="1" t="s">
        <v>83</v>
      </c>
    </row>
    <row r="2400" spans="1:2" x14ac:dyDescent="0.35">
      <c r="A2400" s="2">
        <v>46113</v>
      </c>
      <c r="B2400" s="1" t="s">
        <v>83</v>
      </c>
    </row>
    <row r="2401" spans="1:2" x14ac:dyDescent="0.35">
      <c r="A2401" s="2">
        <v>46113</v>
      </c>
      <c r="B2401" s="1" t="s">
        <v>83</v>
      </c>
    </row>
    <row r="2402" spans="1:2" x14ac:dyDescent="0.35">
      <c r="A2402" s="2">
        <v>46113</v>
      </c>
      <c r="B2402" s="1" t="s">
        <v>83</v>
      </c>
    </row>
    <row r="2403" spans="1:2" x14ac:dyDescent="0.35">
      <c r="A2403" s="2">
        <v>46118</v>
      </c>
      <c r="B2403" s="1" t="s">
        <v>5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83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83</v>
      </c>
    </row>
    <row r="2409" spans="1:2" x14ac:dyDescent="0.35">
      <c r="A2409" s="2">
        <v>46119</v>
      </c>
      <c r="B2409" s="1" t="s">
        <v>5</v>
      </c>
    </row>
    <row r="2410" spans="1:2" x14ac:dyDescent="0.35">
      <c r="A2410" s="2">
        <v>46119</v>
      </c>
      <c r="B2410" s="1" t="s">
        <v>5</v>
      </c>
    </row>
    <row r="2411" spans="1:2" x14ac:dyDescent="0.35">
      <c r="A2411" s="2">
        <v>46119</v>
      </c>
      <c r="B2411" s="1" t="s">
        <v>33</v>
      </c>
    </row>
    <row r="2412" spans="1:2" x14ac:dyDescent="0.35">
      <c r="A2412" s="2">
        <v>46119</v>
      </c>
      <c r="B2412" s="1" t="s">
        <v>33</v>
      </c>
    </row>
    <row r="2413" spans="1:2" x14ac:dyDescent="0.35">
      <c r="A2413" s="2">
        <v>46119</v>
      </c>
      <c r="B2413" s="1" t="s">
        <v>33</v>
      </c>
    </row>
    <row r="2414" spans="1:2" x14ac:dyDescent="0.35">
      <c r="A2414" s="2">
        <v>46120</v>
      </c>
      <c r="B2414" s="1" t="s">
        <v>5</v>
      </c>
    </row>
    <row r="2415" spans="1:2" x14ac:dyDescent="0.35">
      <c r="A2415" s="2">
        <v>46120</v>
      </c>
      <c r="B2415" s="1" t="s">
        <v>5</v>
      </c>
    </row>
    <row r="2416" spans="1:2" x14ac:dyDescent="0.35">
      <c r="A2416" s="2">
        <v>46120</v>
      </c>
      <c r="B2416" s="1" t="s">
        <v>33</v>
      </c>
    </row>
    <row r="2417" spans="1:2" x14ac:dyDescent="0.35">
      <c r="A2417" s="2">
        <v>46120</v>
      </c>
      <c r="B2417" s="1" t="s">
        <v>33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33</v>
      </c>
    </row>
    <row r="2421" spans="1:2" x14ac:dyDescent="0.35">
      <c r="A2421" s="2">
        <v>46121</v>
      </c>
      <c r="B2421" s="1" t="s">
        <v>33</v>
      </c>
    </row>
    <row r="2422" spans="1:2" x14ac:dyDescent="0.35">
      <c r="A2422" s="2">
        <v>46121</v>
      </c>
      <c r="B2422" s="1" t="s">
        <v>33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83</v>
      </c>
    </row>
    <row r="2425" spans="1:2" x14ac:dyDescent="0.35">
      <c r="A2425" s="2">
        <v>46121</v>
      </c>
      <c r="B2425" s="1" t="s">
        <v>5</v>
      </c>
    </row>
    <row r="2426" spans="1:2" x14ac:dyDescent="0.35">
      <c r="A2426" s="2">
        <v>46121</v>
      </c>
      <c r="B2426" s="1" t="s">
        <v>5</v>
      </c>
    </row>
    <row r="2427" spans="1:2" x14ac:dyDescent="0.35">
      <c r="A2427" s="2">
        <v>46121</v>
      </c>
      <c r="B2427" s="1" t="s">
        <v>83</v>
      </c>
    </row>
    <row r="2428" spans="1:2" x14ac:dyDescent="0.35">
      <c r="A2428" s="2">
        <v>46121</v>
      </c>
      <c r="B2428" s="1" t="s">
        <v>83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5</v>
      </c>
    </row>
    <row r="2434" spans="1:2" x14ac:dyDescent="0.35">
      <c r="A2434" s="2">
        <v>46125</v>
      </c>
      <c r="B2434" s="1" t="s">
        <v>5</v>
      </c>
    </row>
    <row r="2435" spans="1:2" x14ac:dyDescent="0.35">
      <c r="A2435" s="2">
        <v>46125</v>
      </c>
      <c r="B2435" s="1" t="s">
        <v>5</v>
      </c>
    </row>
    <row r="2436" spans="1:2" x14ac:dyDescent="0.35">
      <c r="A2436" s="2">
        <v>46125</v>
      </c>
      <c r="B2436" s="1" t="s">
        <v>22</v>
      </c>
    </row>
    <row r="2437" spans="1:2" x14ac:dyDescent="0.35">
      <c r="A2437" s="2">
        <v>46125</v>
      </c>
      <c r="B2437" s="1" t="s">
        <v>22</v>
      </c>
    </row>
    <row r="2438" spans="1:2" x14ac:dyDescent="0.35">
      <c r="A2438" s="2">
        <v>46125</v>
      </c>
      <c r="B2438" s="1" t="s">
        <v>83</v>
      </c>
    </row>
    <row r="2439" spans="1:2" x14ac:dyDescent="0.35">
      <c r="A2439" s="2">
        <v>46125</v>
      </c>
      <c r="B2439" s="1" t="s">
        <v>83</v>
      </c>
    </row>
    <row r="2440" spans="1:2" x14ac:dyDescent="0.35">
      <c r="A2440" s="2">
        <v>46125</v>
      </c>
      <c r="B2440" s="1" t="s">
        <v>83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83</v>
      </c>
    </row>
    <row r="2443" spans="1:2" x14ac:dyDescent="0.35">
      <c r="A2443" s="2">
        <v>46126</v>
      </c>
      <c r="B2443" s="1" t="s">
        <v>24</v>
      </c>
    </row>
    <row r="2444" spans="1:2" x14ac:dyDescent="0.35">
      <c r="A2444" s="2">
        <v>46126</v>
      </c>
      <c r="B2444" s="1" t="s">
        <v>24</v>
      </c>
    </row>
    <row r="2445" spans="1:2" x14ac:dyDescent="0.35">
      <c r="A2445" s="2">
        <v>46126</v>
      </c>
      <c r="B2445" s="1" t="s">
        <v>24</v>
      </c>
    </row>
    <row r="2446" spans="1:2" x14ac:dyDescent="0.35">
      <c r="A2446" s="2">
        <v>46126</v>
      </c>
      <c r="B2446" s="1" t="s">
        <v>24</v>
      </c>
    </row>
    <row r="2447" spans="1:2" x14ac:dyDescent="0.35">
      <c r="A2447" s="2">
        <v>46126</v>
      </c>
      <c r="B2447" s="1" t="s">
        <v>24</v>
      </c>
    </row>
    <row r="2448" spans="1:2" x14ac:dyDescent="0.35">
      <c r="A2448" s="2">
        <v>46126</v>
      </c>
      <c r="B2448" s="1" t="s">
        <v>24</v>
      </c>
    </row>
    <row r="2449" spans="1:2" x14ac:dyDescent="0.35">
      <c r="A2449" s="2">
        <v>46126</v>
      </c>
      <c r="B2449" s="1" t="s">
        <v>24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33</v>
      </c>
    </row>
    <row r="2453" spans="1:2" x14ac:dyDescent="0.35">
      <c r="A2453" s="2">
        <v>46126</v>
      </c>
      <c r="B2453" s="1" t="s">
        <v>33</v>
      </c>
    </row>
    <row r="2454" spans="1:2" x14ac:dyDescent="0.35">
      <c r="A2454" s="2">
        <v>46126</v>
      </c>
      <c r="B2454" s="1" t="s">
        <v>33</v>
      </c>
    </row>
    <row r="2455" spans="1:2" x14ac:dyDescent="0.35">
      <c r="A2455" s="2">
        <v>46126</v>
      </c>
      <c r="B2455" s="1" t="s">
        <v>33</v>
      </c>
    </row>
    <row r="2456" spans="1:2" x14ac:dyDescent="0.35">
      <c r="A2456" s="2">
        <v>46126</v>
      </c>
      <c r="B2456" s="1" t="s">
        <v>83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83</v>
      </c>
    </row>
    <row r="2460" spans="1:2" x14ac:dyDescent="0.35">
      <c r="A2460" s="2">
        <v>46126</v>
      </c>
      <c r="B2460" s="1" t="s">
        <v>83</v>
      </c>
    </row>
    <row r="2461" spans="1:2" x14ac:dyDescent="0.35">
      <c r="A2461" s="2">
        <v>46126</v>
      </c>
      <c r="B2461" s="1" t="s">
        <v>83</v>
      </c>
    </row>
    <row r="2462" spans="1:2" x14ac:dyDescent="0.35">
      <c r="A2462" s="2">
        <v>46126</v>
      </c>
      <c r="B2462" s="1" t="s">
        <v>83</v>
      </c>
    </row>
    <row r="2463" spans="1:2" x14ac:dyDescent="0.35">
      <c r="A2463" s="2">
        <v>46126</v>
      </c>
      <c r="B2463" s="1" t="s">
        <v>83</v>
      </c>
    </row>
    <row r="2464" spans="1:2" x14ac:dyDescent="0.35">
      <c r="A2464" s="2">
        <v>46126</v>
      </c>
      <c r="B2464" s="1" t="s">
        <v>83</v>
      </c>
    </row>
    <row r="2465" spans="1:2" x14ac:dyDescent="0.35">
      <c r="A2465" s="2">
        <v>46126</v>
      </c>
      <c r="B2465" s="1" t="s">
        <v>5</v>
      </c>
    </row>
    <row r="2466" spans="1:2" x14ac:dyDescent="0.35">
      <c r="A2466" s="2">
        <v>46126</v>
      </c>
      <c r="B2466" s="1" t="s">
        <v>83</v>
      </c>
    </row>
    <row r="2467" spans="1:2" x14ac:dyDescent="0.35">
      <c r="A2467" s="2">
        <v>46127</v>
      </c>
      <c r="B2467" s="1" t="s">
        <v>5</v>
      </c>
    </row>
    <row r="2468" spans="1:2" x14ac:dyDescent="0.35">
      <c r="A2468" s="2">
        <v>46127</v>
      </c>
      <c r="B2468" s="1" t="s">
        <v>5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83</v>
      </c>
    </row>
    <row r="2471" spans="1:2" x14ac:dyDescent="0.35">
      <c r="A2471" s="2">
        <v>46127</v>
      </c>
      <c r="B2471" s="1" t="s">
        <v>83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24</v>
      </c>
    </row>
    <row r="2474" spans="1:2" x14ac:dyDescent="0.35">
      <c r="A2474" s="2">
        <v>46128</v>
      </c>
      <c r="B2474" s="1" t="s">
        <v>24</v>
      </c>
    </row>
    <row r="2475" spans="1:2" x14ac:dyDescent="0.35">
      <c r="A2475" s="2">
        <v>46128</v>
      </c>
      <c r="B2475" s="1" t="s">
        <v>24</v>
      </c>
    </row>
    <row r="2476" spans="1:2" x14ac:dyDescent="0.35">
      <c r="A2476" s="2">
        <v>46128</v>
      </c>
      <c r="B2476" s="1" t="s">
        <v>24</v>
      </c>
    </row>
    <row r="2477" spans="1:2" x14ac:dyDescent="0.35">
      <c r="A2477" s="2">
        <v>46128</v>
      </c>
      <c r="B2477" s="1" t="s">
        <v>33</v>
      </c>
    </row>
    <row r="2478" spans="1:2" x14ac:dyDescent="0.35">
      <c r="A2478" s="2">
        <v>46128</v>
      </c>
      <c r="B2478" s="1" t="s">
        <v>33</v>
      </c>
    </row>
    <row r="2479" spans="1:2" x14ac:dyDescent="0.35">
      <c r="A2479" s="2">
        <v>46128</v>
      </c>
      <c r="B2479" s="1" t="s">
        <v>33</v>
      </c>
    </row>
    <row r="2480" spans="1:2" x14ac:dyDescent="0.35">
      <c r="A2480" s="2">
        <v>46128</v>
      </c>
      <c r="B2480" s="1" t="s">
        <v>83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5</v>
      </c>
    </row>
    <row r="2483" spans="1:2" x14ac:dyDescent="0.35">
      <c r="A2483" s="2">
        <v>46128</v>
      </c>
      <c r="B2483" s="1" t="s">
        <v>5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83</v>
      </c>
    </row>
    <row r="2486" spans="1:2" x14ac:dyDescent="0.35">
      <c r="A2486" s="2">
        <v>46128</v>
      </c>
      <c r="B2486" s="1" t="s">
        <v>83</v>
      </c>
    </row>
    <row r="2487" spans="1:2" x14ac:dyDescent="0.35">
      <c r="A2487" s="2">
        <v>46128</v>
      </c>
      <c r="B2487" s="1" t="s">
        <v>83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83</v>
      </c>
    </row>
    <row r="2491" spans="1:2" x14ac:dyDescent="0.35">
      <c r="A2491" s="2">
        <v>46128</v>
      </c>
      <c r="B2491" s="1" t="s">
        <v>83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5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22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5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5</v>
      </c>
    </row>
    <row r="2513" spans="1:2" x14ac:dyDescent="0.35">
      <c r="A2513" s="2">
        <v>46134</v>
      </c>
      <c r="B2513" s="1" t="s">
        <v>5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5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83</v>
      </c>
    </row>
    <row r="2520" spans="1:2" x14ac:dyDescent="0.35">
      <c r="A2520" s="2">
        <v>46134</v>
      </c>
      <c r="B2520" s="1" t="s">
        <v>83</v>
      </c>
    </row>
    <row r="2521" spans="1:2" x14ac:dyDescent="0.35">
      <c r="A2521" s="2">
        <v>46134</v>
      </c>
      <c r="B2521" s="1" t="s">
        <v>83</v>
      </c>
    </row>
    <row r="2522" spans="1:2" x14ac:dyDescent="0.35">
      <c r="A2522" s="2">
        <v>46134</v>
      </c>
      <c r="B2522" s="1" t="s">
        <v>83</v>
      </c>
    </row>
    <row r="2523" spans="1:2" x14ac:dyDescent="0.35">
      <c r="A2523" s="2">
        <v>46135</v>
      </c>
      <c r="B2523" s="1" t="s">
        <v>9</v>
      </c>
    </row>
    <row r="2524" spans="1:2" x14ac:dyDescent="0.35">
      <c r="A2524" s="2">
        <v>46135</v>
      </c>
      <c r="B2524" s="1" t="s">
        <v>9</v>
      </c>
    </row>
    <row r="2525" spans="1:2" x14ac:dyDescent="0.35">
      <c r="A2525" s="2">
        <v>46135</v>
      </c>
      <c r="B2525" s="1" t="s">
        <v>5</v>
      </c>
    </row>
    <row r="2526" spans="1:2" x14ac:dyDescent="0.35">
      <c r="A2526" s="2">
        <v>46135</v>
      </c>
      <c r="B2526" s="1" t="s">
        <v>5</v>
      </c>
    </row>
    <row r="2527" spans="1:2" x14ac:dyDescent="0.35">
      <c r="A2527" s="2">
        <v>46135</v>
      </c>
      <c r="B2527" s="1" t="s">
        <v>5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33</v>
      </c>
    </row>
    <row r="2530" spans="1:2" x14ac:dyDescent="0.35">
      <c r="A2530" s="2">
        <v>46135</v>
      </c>
      <c r="B2530" s="1" t="s">
        <v>83</v>
      </c>
    </row>
    <row r="2531" spans="1:2" x14ac:dyDescent="0.35">
      <c r="A2531" s="2">
        <v>46135</v>
      </c>
      <c r="B2531" s="1" t="s">
        <v>83</v>
      </c>
    </row>
    <row r="2532" spans="1:2" x14ac:dyDescent="0.35">
      <c r="A2532" s="2">
        <v>46135</v>
      </c>
      <c r="B2532" s="1" t="s">
        <v>83</v>
      </c>
    </row>
    <row r="2533" spans="1:2" x14ac:dyDescent="0.35">
      <c r="A2533" s="2">
        <v>46135</v>
      </c>
      <c r="B2533" s="1" t="s">
        <v>83</v>
      </c>
    </row>
    <row r="2534" spans="1:2" x14ac:dyDescent="0.35">
      <c r="A2534" s="2">
        <v>46135</v>
      </c>
      <c r="B2534" s="1" t="s">
        <v>83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5</v>
      </c>
    </row>
    <row r="2543" spans="1:2" x14ac:dyDescent="0.35">
      <c r="A2543" s="2">
        <v>46136</v>
      </c>
      <c r="B2543" s="1" t="s">
        <v>5</v>
      </c>
    </row>
    <row r="2544" spans="1:2" x14ac:dyDescent="0.35">
      <c r="A2544" s="2">
        <v>46136</v>
      </c>
      <c r="B2544" s="1" t="s">
        <v>83</v>
      </c>
    </row>
    <row r="2545" spans="1:2" x14ac:dyDescent="0.35">
      <c r="A2545" s="2">
        <v>46136</v>
      </c>
      <c r="B2545" s="1" t="s">
        <v>83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9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33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24</v>
      </c>
    </row>
    <row r="2586" spans="1:2" x14ac:dyDescent="0.35">
      <c r="A2586" s="2">
        <v>46148</v>
      </c>
      <c r="B2586" s="1" t="s">
        <v>24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24</v>
      </c>
    </row>
    <row r="2589" spans="1:2" x14ac:dyDescent="0.35">
      <c r="A2589" s="2">
        <v>46148</v>
      </c>
      <c r="B2589" s="1" t="s">
        <v>24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9</v>
      </c>
    </row>
    <row r="2593" spans="1:2" x14ac:dyDescent="0.35">
      <c r="A2593" s="2">
        <v>46148</v>
      </c>
      <c r="B2593" s="1" t="s">
        <v>33</v>
      </c>
    </row>
    <row r="2594" spans="1:2" x14ac:dyDescent="0.35">
      <c r="A2594" s="2">
        <v>46148</v>
      </c>
      <c r="B2594" s="1" t="s">
        <v>9</v>
      </c>
    </row>
    <row r="2595" spans="1:2" x14ac:dyDescent="0.35">
      <c r="A2595" s="2">
        <v>46148</v>
      </c>
      <c r="B2595" s="1" t="s">
        <v>9</v>
      </c>
    </row>
    <row r="2596" spans="1:2" x14ac:dyDescent="0.35">
      <c r="A2596" s="2">
        <v>46148</v>
      </c>
      <c r="B2596" s="1" t="s">
        <v>28</v>
      </c>
    </row>
    <row r="2597" spans="1:2" x14ac:dyDescent="0.35">
      <c r="A2597" s="2">
        <v>46148</v>
      </c>
      <c r="B2597" s="1" t="s">
        <v>28</v>
      </c>
    </row>
    <row r="2598" spans="1:2" x14ac:dyDescent="0.35">
      <c r="A2598" s="2">
        <v>46148</v>
      </c>
      <c r="B2598" s="1" t="s">
        <v>33</v>
      </c>
    </row>
    <row r="2599" spans="1:2" x14ac:dyDescent="0.35">
      <c r="A2599" s="2">
        <v>46148</v>
      </c>
      <c r="B2599" s="1" t="s">
        <v>9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33</v>
      </c>
    </row>
    <row r="2602" spans="1:2" x14ac:dyDescent="0.35">
      <c r="A2602" s="2">
        <v>46148</v>
      </c>
      <c r="B2602" s="1" t="s">
        <v>9</v>
      </c>
    </row>
    <row r="2603" spans="1:2" x14ac:dyDescent="0.35">
      <c r="A2603" s="2">
        <v>46148</v>
      </c>
      <c r="B2603" s="1" t="s">
        <v>9</v>
      </c>
    </row>
    <row r="2604" spans="1:2" x14ac:dyDescent="0.35">
      <c r="A2604" s="2">
        <v>46148</v>
      </c>
      <c r="B2604" s="1" t="s">
        <v>28</v>
      </c>
    </row>
    <row r="2605" spans="1:2" x14ac:dyDescent="0.35">
      <c r="A2605" s="2">
        <v>46148</v>
      </c>
      <c r="B2605" s="1" t="s">
        <v>9</v>
      </c>
    </row>
    <row r="2606" spans="1:2" x14ac:dyDescent="0.35">
      <c r="A2606" s="2">
        <v>46149</v>
      </c>
      <c r="B2606" s="1" t="s">
        <v>24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24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33</v>
      </c>
    </row>
    <row r="2612" spans="1:2" x14ac:dyDescent="0.35">
      <c r="A2612" s="2">
        <v>46149</v>
      </c>
      <c r="B2612" s="1" t="s">
        <v>33</v>
      </c>
    </row>
    <row r="2613" spans="1:2" x14ac:dyDescent="0.35">
      <c r="A2613" s="2">
        <v>46149</v>
      </c>
      <c r="B2613" s="1" t="s">
        <v>9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9</v>
      </c>
    </row>
    <row r="2629" spans="1:2" x14ac:dyDescent="0.35">
      <c r="A2629" s="2">
        <v>46155</v>
      </c>
      <c r="B2629" s="1" t="s">
        <v>9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9</v>
      </c>
    </row>
    <row r="2632" spans="1:2" x14ac:dyDescent="0.35">
      <c r="A2632" s="2">
        <v>46155</v>
      </c>
      <c r="B2632" s="1" t="s">
        <v>9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22</v>
      </c>
    </row>
    <row r="2636" spans="1:2" x14ac:dyDescent="0.35">
      <c r="A2636" s="2">
        <v>46155</v>
      </c>
      <c r="B2636" s="1" t="s">
        <v>22</v>
      </c>
    </row>
    <row r="2637" spans="1:2" x14ac:dyDescent="0.35">
      <c r="A2637" s="2">
        <v>46155</v>
      </c>
      <c r="B2637" s="1" t="s">
        <v>22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22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9</v>
      </c>
    </row>
    <row r="2651" spans="1:2" x14ac:dyDescent="0.35">
      <c r="A2651" s="2">
        <v>46160</v>
      </c>
      <c r="B2651" s="1" t="s">
        <v>9</v>
      </c>
    </row>
    <row r="2652" spans="1:2" x14ac:dyDescent="0.35">
      <c r="A2652" s="2">
        <v>46160</v>
      </c>
      <c r="B2652" s="1" t="s">
        <v>9</v>
      </c>
    </row>
    <row r="2653" spans="1:2" x14ac:dyDescent="0.35">
      <c r="A2653" s="2">
        <v>46160</v>
      </c>
      <c r="B2653" s="1" t="s">
        <v>9</v>
      </c>
    </row>
    <row r="2654" spans="1:2" x14ac:dyDescent="0.35">
      <c r="A2654" s="2">
        <v>46160</v>
      </c>
      <c r="B2654" s="1" t="s">
        <v>9</v>
      </c>
    </row>
    <row r="2655" spans="1:2" x14ac:dyDescent="0.35">
      <c r="A2655" s="2">
        <v>46160</v>
      </c>
      <c r="B2655" s="1" t="s">
        <v>9</v>
      </c>
    </row>
    <row r="2656" spans="1:2" x14ac:dyDescent="0.35">
      <c r="A2656" s="2">
        <v>46160</v>
      </c>
      <c r="B2656" s="1" t="s">
        <v>9</v>
      </c>
    </row>
    <row r="2657" spans="1:2" x14ac:dyDescent="0.35">
      <c r="A2657" s="2">
        <v>46160</v>
      </c>
      <c r="B2657" s="1" t="s">
        <v>9</v>
      </c>
    </row>
    <row r="2658" spans="1:2" x14ac:dyDescent="0.35">
      <c r="A2658" s="2">
        <v>46160</v>
      </c>
      <c r="B2658" s="1" t="s">
        <v>28</v>
      </c>
    </row>
    <row r="2659" spans="1:2" x14ac:dyDescent="0.35">
      <c r="A2659" s="2">
        <v>46160</v>
      </c>
      <c r="B2659" s="1" t="s">
        <v>28</v>
      </c>
    </row>
    <row r="2660" spans="1:2" x14ac:dyDescent="0.35">
      <c r="A2660" s="2">
        <v>46160</v>
      </c>
      <c r="B2660" s="1" t="s">
        <v>24</v>
      </c>
    </row>
    <row r="2661" spans="1:2" x14ac:dyDescent="0.35">
      <c r="A2661" s="2">
        <v>46160</v>
      </c>
      <c r="B2661" s="1" t="s">
        <v>24</v>
      </c>
    </row>
    <row r="2662" spans="1:2" x14ac:dyDescent="0.35">
      <c r="A2662" s="2">
        <v>46160</v>
      </c>
      <c r="B2662" s="1" t="s">
        <v>24</v>
      </c>
    </row>
    <row r="2663" spans="1:2" x14ac:dyDescent="0.35">
      <c r="A2663" s="2">
        <v>46160</v>
      </c>
      <c r="B2663" s="1" t="s">
        <v>24</v>
      </c>
    </row>
    <row r="2664" spans="1:2" x14ac:dyDescent="0.35">
      <c r="A2664" s="2">
        <v>46160</v>
      </c>
      <c r="B2664" s="1" t="s">
        <v>24</v>
      </c>
    </row>
    <row r="2665" spans="1:2" x14ac:dyDescent="0.35">
      <c r="A2665" s="2">
        <v>46160</v>
      </c>
      <c r="B2665" s="1" t="s">
        <v>24</v>
      </c>
    </row>
    <row r="2666" spans="1:2" x14ac:dyDescent="0.35">
      <c r="A2666" s="2">
        <v>46160</v>
      </c>
      <c r="B2666" s="1" t="s">
        <v>24</v>
      </c>
    </row>
    <row r="2667" spans="1:2" x14ac:dyDescent="0.35">
      <c r="A2667" s="2">
        <v>46160</v>
      </c>
      <c r="B2667" s="1" t="s">
        <v>24</v>
      </c>
    </row>
    <row r="2668" spans="1:2" x14ac:dyDescent="0.35">
      <c r="A2668" s="2">
        <v>46160</v>
      </c>
      <c r="B2668" s="1" t="s">
        <v>24</v>
      </c>
    </row>
    <row r="2669" spans="1:2" x14ac:dyDescent="0.35">
      <c r="A2669" s="2">
        <v>46160</v>
      </c>
      <c r="B2669" s="1" t="s">
        <v>24</v>
      </c>
    </row>
    <row r="2670" spans="1:2" x14ac:dyDescent="0.35">
      <c r="A2670" s="2">
        <v>46161</v>
      </c>
      <c r="B2670" s="1" t="s">
        <v>9</v>
      </c>
    </row>
    <row r="2671" spans="1:2" x14ac:dyDescent="0.35">
      <c r="A2671" s="2">
        <v>46161</v>
      </c>
      <c r="B2671" s="1" t="s">
        <v>9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9</v>
      </c>
    </row>
    <row r="2675" spans="1:2" x14ac:dyDescent="0.35">
      <c r="A2675" s="2">
        <v>46161</v>
      </c>
      <c r="B2675" s="1" t="s">
        <v>24</v>
      </c>
    </row>
    <row r="2676" spans="1:2" x14ac:dyDescent="0.35">
      <c r="A2676" s="2">
        <v>46161</v>
      </c>
      <c r="B2676" s="1" t="s">
        <v>24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24</v>
      </c>
    </row>
    <row r="2679" spans="1:2" x14ac:dyDescent="0.35">
      <c r="A2679" s="2">
        <v>46162</v>
      </c>
      <c r="B2679" s="1" t="s">
        <v>9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24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28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9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9</v>
      </c>
    </row>
    <row r="2741" spans="1:2" x14ac:dyDescent="0.35">
      <c r="A2741" s="2">
        <v>46182</v>
      </c>
      <c r="B2741" s="1" t="s">
        <v>9</v>
      </c>
    </row>
    <row r="2742" spans="1:2" x14ac:dyDescent="0.35">
      <c r="A2742" s="2">
        <v>46182</v>
      </c>
      <c r="B2742" s="1" t="s">
        <v>9</v>
      </c>
    </row>
    <row r="2743" spans="1:2" x14ac:dyDescent="0.35">
      <c r="A2743" s="2">
        <v>46182</v>
      </c>
      <c r="B2743" s="1" t="s">
        <v>9</v>
      </c>
    </row>
    <row r="2744" spans="1:2" x14ac:dyDescent="0.35">
      <c r="A2744" s="2">
        <v>46182</v>
      </c>
      <c r="B2744" s="1" t="s">
        <v>24</v>
      </c>
    </row>
    <row r="2745" spans="1:2" x14ac:dyDescent="0.35">
      <c r="A2745" s="2">
        <v>46182</v>
      </c>
      <c r="B2745" s="1" t="s">
        <v>24</v>
      </c>
    </row>
    <row r="2746" spans="1:2" x14ac:dyDescent="0.35">
      <c r="A2746" s="2">
        <v>46182</v>
      </c>
      <c r="B2746" s="1" t="s">
        <v>24</v>
      </c>
    </row>
    <row r="2747" spans="1:2" x14ac:dyDescent="0.35">
      <c r="A2747" s="2">
        <v>46182</v>
      </c>
      <c r="B2747" s="1" t="s">
        <v>24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5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9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19</v>
      </c>
    </row>
    <row r="2837" spans="1:2" x14ac:dyDescent="0.35">
      <c r="A2837" s="2">
        <v>46217</v>
      </c>
      <c r="B2837" s="1" t="s">
        <v>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9</v>
      </c>
    </row>
    <row r="2873" spans="1:2" x14ac:dyDescent="0.35">
      <c r="A2873" s="2">
        <v>46227</v>
      </c>
      <c r="B2873" s="1" t="s">
        <v>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19</v>
      </c>
    </row>
    <row r="2876" spans="1:2" x14ac:dyDescent="0.35">
      <c r="A2876" s="2">
        <v>46227</v>
      </c>
      <c r="B2876" s="1" t="s">
        <v>19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19</v>
      </c>
    </row>
    <row r="2892" spans="1:2" x14ac:dyDescent="0.35">
      <c r="A2892" s="2">
        <v>46230</v>
      </c>
      <c r="B2892" s="1" t="s">
        <v>19</v>
      </c>
    </row>
    <row r="2893" spans="1:2" x14ac:dyDescent="0.35">
      <c r="A2893" s="2">
        <v>46230</v>
      </c>
      <c r="B2893" s="1" t="s">
        <v>19</v>
      </c>
    </row>
    <row r="2894" spans="1:2" x14ac:dyDescent="0.35">
      <c r="A2894" s="2">
        <v>46230</v>
      </c>
      <c r="B2894" s="1" t="s">
        <v>9</v>
      </c>
    </row>
    <row r="2895" spans="1:2" x14ac:dyDescent="0.35">
      <c r="A2895" s="2">
        <v>46230</v>
      </c>
      <c r="B2895" s="1" t="s">
        <v>9</v>
      </c>
    </row>
    <row r="2896" spans="1:2" x14ac:dyDescent="0.35">
      <c r="A2896" s="2">
        <v>46230</v>
      </c>
      <c r="B2896" s="1" t="s">
        <v>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84</v>
      </c>
    </row>
    <row r="2941" spans="1:2" x14ac:dyDescent="0.35">
      <c r="A2941" s="2">
        <v>46244</v>
      </c>
      <c r="B2941" s="1" t="s">
        <v>22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9</v>
      </c>
    </row>
    <row r="2946" spans="1:2" x14ac:dyDescent="0.35">
      <c r="A2946" s="2">
        <v>46244</v>
      </c>
      <c r="B2946" s="1" t="s">
        <v>9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22</v>
      </c>
    </row>
    <row r="2958" spans="1:2" x14ac:dyDescent="0.35">
      <c r="A2958" s="2">
        <v>46247</v>
      </c>
      <c r="B2958" s="1" t="s">
        <v>22</v>
      </c>
    </row>
    <row r="2959" spans="1:2" x14ac:dyDescent="0.35">
      <c r="A2959" s="2">
        <v>46247</v>
      </c>
      <c r="B2959" s="1" t="s">
        <v>22</v>
      </c>
    </row>
    <row r="2960" spans="1:2" x14ac:dyDescent="0.35">
      <c r="A2960" s="2">
        <v>46247</v>
      </c>
      <c r="B2960" s="1" t="s">
        <v>22</v>
      </c>
    </row>
    <row r="2961" spans="1:2" x14ac:dyDescent="0.35">
      <c r="A2961" s="2">
        <v>46247</v>
      </c>
      <c r="B2961" s="1" t="s">
        <v>22</v>
      </c>
    </row>
    <row r="2962" spans="1:2" x14ac:dyDescent="0.35">
      <c r="A2962" s="2">
        <v>46247</v>
      </c>
      <c r="B2962" s="1" t="s">
        <v>22</v>
      </c>
    </row>
    <row r="2963" spans="1:2" x14ac:dyDescent="0.35">
      <c r="A2963" s="2">
        <v>46247</v>
      </c>
      <c r="B2963" s="1" t="s">
        <v>22</v>
      </c>
    </row>
    <row r="2964" spans="1:2" x14ac:dyDescent="0.35">
      <c r="A2964" s="2">
        <v>46247</v>
      </c>
      <c r="B2964" s="1" t="s">
        <v>22</v>
      </c>
    </row>
    <row r="2965" spans="1:2" x14ac:dyDescent="0.35">
      <c r="A2965" s="2">
        <v>46247</v>
      </c>
      <c r="B2965" s="1" t="s">
        <v>22</v>
      </c>
    </row>
    <row r="2966" spans="1:2" x14ac:dyDescent="0.35">
      <c r="A2966" s="2">
        <v>46247</v>
      </c>
      <c r="B2966" s="1" t="s">
        <v>22</v>
      </c>
    </row>
    <row r="2967" spans="1:2" x14ac:dyDescent="0.35">
      <c r="A2967" s="2">
        <v>46247</v>
      </c>
      <c r="B2967" s="1" t="s">
        <v>22</v>
      </c>
    </row>
    <row r="2968" spans="1:2" x14ac:dyDescent="0.35">
      <c r="A2968" s="2">
        <v>46247</v>
      </c>
      <c r="B2968" s="1" t="s">
        <v>22</v>
      </c>
    </row>
    <row r="2969" spans="1:2" x14ac:dyDescent="0.35">
      <c r="A2969" s="2">
        <v>46247</v>
      </c>
      <c r="B2969" s="1" t="s">
        <v>22</v>
      </c>
    </row>
    <row r="2970" spans="1:2" x14ac:dyDescent="0.35">
      <c r="A2970" s="2">
        <v>46247</v>
      </c>
      <c r="B2970" s="1" t="s">
        <v>22</v>
      </c>
    </row>
    <row r="2971" spans="1:2" x14ac:dyDescent="0.35">
      <c r="A2971" s="2">
        <v>46247</v>
      </c>
      <c r="B2971" s="1" t="s">
        <v>22</v>
      </c>
    </row>
    <row r="2972" spans="1:2" x14ac:dyDescent="0.35">
      <c r="A2972" s="2">
        <v>46247</v>
      </c>
      <c r="B2972" s="1" t="s">
        <v>22</v>
      </c>
    </row>
    <row r="2973" spans="1:2" x14ac:dyDescent="0.35">
      <c r="A2973" s="2">
        <v>46247</v>
      </c>
      <c r="B2973" s="1" t="s">
        <v>22</v>
      </c>
    </row>
    <row r="2974" spans="1:2" x14ac:dyDescent="0.35">
      <c r="A2974" s="2">
        <v>46247</v>
      </c>
      <c r="B2974" s="1" t="s">
        <v>22</v>
      </c>
    </row>
    <row r="2975" spans="1:2" x14ac:dyDescent="0.35">
      <c r="A2975" s="2">
        <v>46247</v>
      </c>
      <c r="B2975" s="1" t="s">
        <v>22</v>
      </c>
    </row>
    <row r="2976" spans="1:2" x14ac:dyDescent="0.35">
      <c r="A2976" s="2">
        <v>46247</v>
      </c>
      <c r="B2976" s="1" t="s">
        <v>22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9</v>
      </c>
    </row>
    <row r="2989" spans="1:2" x14ac:dyDescent="0.35">
      <c r="A2989" s="2">
        <v>46247</v>
      </c>
      <c r="B2989" s="1" t="s">
        <v>9</v>
      </c>
    </row>
    <row r="2990" spans="1:2" x14ac:dyDescent="0.35">
      <c r="A2990" s="2">
        <v>46247</v>
      </c>
      <c r="B2990" s="1" t="s">
        <v>9</v>
      </c>
    </row>
    <row r="2991" spans="1:2" x14ac:dyDescent="0.35">
      <c r="A2991" s="2">
        <v>46247</v>
      </c>
      <c r="B2991" s="1" t="s">
        <v>9</v>
      </c>
    </row>
    <row r="2992" spans="1:2" x14ac:dyDescent="0.35">
      <c r="A2992" s="2">
        <v>46247</v>
      </c>
      <c r="B2992" s="1" t="s">
        <v>9</v>
      </c>
    </row>
    <row r="2993" spans="1:2" x14ac:dyDescent="0.35">
      <c r="A2993" s="2">
        <v>46247</v>
      </c>
      <c r="B2993" s="1" t="s">
        <v>84</v>
      </c>
    </row>
    <row r="2994" spans="1:2" x14ac:dyDescent="0.35">
      <c r="A2994" s="2">
        <v>46247</v>
      </c>
      <c r="B2994" s="1" t="s">
        <v>84</v>
      </c>
    </row>
    <row r="2995" spans="1:2" x14ac:dyDescent="0.35">
      <c r="A2995" s="2">
        <v>46247</v>
      </c>
      <c r="B2995" s="1" t="s">
        <v>84</v>
      </c>
    </row>
    <row r="2996" spans="1:2" x14ac:dyDescent="0.35">
      <c r="A2996" s="2">
        <v>46247</v>
      </c>
      <c r="B2996" s="1" t="s">
        <v>84</v>
      </c>
    </row>
    <row r="2997" spans="1:2" x14ac:dyDescent="0.35">
      <c r="A2997" s="2">
        <v>46247</v>
      </c>
      <c r="B2997" s="1" t="s">
        <v>84</v>
      </c>
    </row>
    <row r="2998" spans="1:2" x14ac:dyDescent="0.35">
      <c r="A2998" s="2">
        <v>46247</v>
      </c>
      <c r="B2998" s="1" t="s">
        <v>84</v>
      </c>
    </row>
    <row r="2999" spans="1:2" x14ac:dyDescent="0.35">
      <c r="A2999" s="2">
        <v>46247</v>
      </c>
      <c r="B2999" s="1" t="s">
        <v>84</v>
      </c>
    </row>
    <row r="3000" spans="1:2" x14ac:dyDescent="0.35">
      <c r="A3000" s="2">
        <v>46247</v>
      </c>
      <c r="B3000" s="1" t="s">
        <v>84</v>
      </c>
    </row>
    <row r="3001" spans="1:2" x14ac:dyDescent="0.35">
      <c r="A3001" s="2">
        <v>46247</v>
      </c>
      <c r="B3001" s="1" t="s">
        <v>84</v>
      </c>
    </row>
    <row r="3002" spans="1:2" x14ac:dyDescent="0.35">
      <c r="A3002" s="2">
        <v>46247</v>
      </c>
      <c r="B3002" s="1" t="s">
        <v>19</v>
      </c>
    </row>
    <row r="3003" spans="1:2" x14ac:dyDescent="0.35">
      <c r="A3003" s="2">
        <v>46247</v>
      </c>
      <c r="B3003" s="1" t="s">
        <v>19</v>
      </c>
    </row>
    <row r="3004" spans="1:2" x14ac:dyDescent="0.35">
      <c r="A3004" s="2">
        <v>46247</v>
      </c>
      <c r="B3004" s="1" t="s">
        <v>19</v>
      </c>
    </row>
    <row r="3005" spans="1:2" x14ac:dyDescent="0.35">
      <c r="A3005" s="2">
        <v>46247</v>
      </c>
      <c r="B3005" s="1" t="s">
        <v>19</v>
      </c>
    </row>
    <row r="3006" spans="1:2" x14ac:dyDescent="0.35">
      <c r="A3006" s="2">
        <v>46247</v>
      </c>
      <c r="B3006" s="1" t="s">
        <v>19</v>
      </c>
    </row>
    <row r="3007" spans="1:2" x14ac:dyDescent="0.35">
      <c r="A3007" s="2">
        <v>46247</v>
      </c>
      <c r="B3007" s="1" t="s">
        <v>9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9</v>
      </c>
    </row>
    <row r="3014" spans="1:2" x14ac:dyDescent="0.35">
      <c r="A3014" s="2">
        <v>46248</v>
      </c>
      <c r="B3014" s="1" t="s">
        <v>9</v>
      </c>
    </row>
    <row r="3015" spans="1:2" x14ac:dyDescent="0.35">
      <c r="A3015" s="2">
        <v>46248</v>
      </c>
      <c r="B3015" s="1" t="s">
        <v>83</v>
      </c>
    </row>
    <row r="3016" spans="1:2" x14ac:dyDescent="0.35">
      <c r="A3016" s="2">
        <v>46248</v>
      </c>
      <c r="B3016" s="1" t="s">
        <v>83</v>
      </c>
    </row>
    <row r="3017" spans="1:2" x14ac:dyDescent="0.35">
      <c r="A3017" s="2">
        <v>46248</v>
      </c>
      <c r="B3017" s="1" t="s">
        <v>84</v>
      </c>
    </row>
    <row r="3018" spans="1:2" x14ac:dyDescent="0.35">
      <c r="A3018" s="2">
        <v>46248</v>
      </c>
      <c r="B3018" s="1" t="s">
        <v>84</v>
      </c>
    </row>
    <row r="3019" spans="1:2" x14ac:dyDescent="0.35">
      <c r="A3019" s="2">
        <v>46251</v>
      </c>
      <c r="B3019" s="1" t="s">
        <v>84</v>
      </c>
    </row>
    <row r="3020" spans="1:2" x14ac:dyDescent="0.35">
      <c r="A3020" s="2">
        <v>46251</v>
      </c>
      <c r="B3020" s="1" t="s">
        <v>5</v>
      </c>
    </row>
    <row r="3021" spans="1:2" x14ac:dyDescent="0.35">
      <c r="A3021" s="2">
        <v>46251</v>
      </c>
      <c r="B3021" s="1" t="s">
        <v>9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19</v>
      </c>
    </row>
    <row r="3037" spans="1:2" x14ac:dyDescent="0.35">
      <c r="A3037" s="2">
        <v>46259</v>
      </c>
      <c r="B3037" s="1" t="s">
        <v>19</v>
      </c>
    </row>
    <row r="3038" spans="1:2" x14ac:dyDescent="0.35">
      <c r="A3038" s="2">
        <v>46259</v>
      </c>
      <c r="B3038" s="1" t="s">
        <v>19</v>
      </c>
    </row>
    <row r="3039" spans="1:2" x14ac:dyDescent="0.35">
      <c r="A3039" s="2">
        <v>46259</v>
      </c>
      <c r="B3039" s="1" t="s">
        <v>84</v>
      </c>
    </row>
    <row r="3040" spans="1:2" x14ac:dyDescent="0.35">
      <c r="A3040" s="2">
        <v>46259</v>
      </c>
      <c r="B3040" s="1" t="s">
        <v>84</v>
      </c>
    </row>
    <row r="3041" spans="1:2" x14ac:dyDescent="0.35">
      <c r="A3041" s="2">
        <v>46259</v>
      </c>
      <c r="B3041" s="1" t="s">
        <v>84</v>
      </c>
    </row>
    <row r="3042" spans="1:2" x14ac:dyDescent="0.35">
      <c r="A3042" s="2">
        <v>46261</v>
      </c>
      <c r="B3042" s="1" t="s">
        <v>84</v>
      </c>
    </row>
    <row r="3043" spans="1:2" x14ac:dyDescent="0.35">
      <c r="A3043" s="2">
        <v>46261</v>
      </c>
      <c r="B3043" s="1" t="s">
        <v>84</v>
      </c>
    </row>
    <row r="3044" spans="1:2" x14ac:dyDescent="0.35">
      <c r="A3044" s="2">
        <v>46261</v>
      </c>
      <c r="B3044" s="1" t="s">
        <v>84</v>
      </c>
    </row>
    <row r="3045" spans="1:2" x14ac:dyDescent="0.35">
      <c r="A3045" s="2">
        <v>46261</v>
      </c>
      <c r="B3045" s="1" t="s">
        <v>84</v>
      </c>
    </row>
    <row r="3046" spans="1:2" x14ac:dyDescent="0.35">
      <c r="A3046" s="2">
        <v>46261</v>
      </c>
      <c r="B3046" s="1" t="s">
        <v>84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24</v>
      </c>
    </row>
    <row r="3054" spans="1:2" x14ac:dyDescent="0.35">
      <c r="A3054" s="2">
        <v>46261</v>
      </c>
      <c r="B3054" s="1" t="s">
        <v>24</v>
      </c>
    </row>
    <row r="3055" spans="1:2" x14ac:dyDescent="0.35">
      <c r="A3055" s="2">
        <v>46261</v>
      </c>
      <c r="B3055" s="1" t="s">
        <v>24</v>
      </c>
    </row>
    <row r="3056" spans="1:2" x14ac:dyDescent="0.35">
      <c r="A3056" s="2">
        <v>46261</v>
      </c>
      <c r="B3056" s="1" t="s">
        <v>24</v>
      </c>
    </row>
    <row r="3057" spans="1:2" x14ac:dyDescent="0.35">
      <c r="A3057" s="2">
        <v>46261</v>
      </c>
      <c r="B3057" s="1" t="s">
        <v>24</v>
      </c>
    </row>
    <row r="3058" spans="1:2" x14ac:dyDescent="0.35">
      <c r="A3058" s="2">
        <v>46261</v>
      </c>
      <c r="B3058" s="1" t="s">
        <v>24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84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9</v>
      </c>
    </row>
    <row r="3109" spans="1:2" x14ac:dyDescent="0.35">
      <c r="A3109" s="2">
        <v>46267</v>
      </c>
      <c r="B3109" s="1" t="s">
        <v>9</v>
      </c>
    </row>
    <row r="3110" spans="1:2" x14ac:dyDescent="0.35">
      <c r="A3110" s="2">
        <v>46267</v>
      </c>
      <c r="B3110" s="1" t="s">
        <v>9</v>
      </c>
    </row>
    <row r="3111" spans="1:2" x14ac:dyDescent="0.35">
      <c r="A3111" s="2">
        <v>46267</v>
      </c>
      <c r="B3111" s="1" t="s">
        <v>9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84</v>
      </c>
    </row>
    <row r="3118" spans="1:2" x14ac:dyDescent="0.35">
      <c r="A3118" s="2">
        <v>46267</v>
      </c>
      <c r="B3118" s="1" t="s">
        <v>84</v>
      </c>
    </row>
    <row r="3119" spans="1:2" x14ac:dyDescent="0.35">
      <c r="A3119" s="2">
        <v>46267</v>
      </c>
      <c r="B3119" s="1" t="s">
        <v>84</v>
      </c>
    </row>
    <row r="3120" spans="1:2" x14ac:dyDescent="0.35">
      <c r="A3120" s="2">
        <v>46267</v>
      </c>
      <c r="B3120" s="1" t="s">
        <v>84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19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84</v>
      </c>
    </row>
    <row r="3152" spans="1:2" x14ac:dyDescent="0.35">
      <c r="A3152" s="2">
        <v>46274</v>
      </c>
      <c r="B3152" s="1" t="s">
        <v>84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9</v>
      </c>
    </row>
    <row r="3156" spans="1:2" x14ac:dyDescent="0.35">
      <c r="A3156" s="2">
        <v>46274</v>
      </c>
      <c r="B3156" s="1" t="s">
        <v>9</v>
      </c>
    </row>
    <row r="3157" spans="1:2" x14ac:dyDescent="0.35">
      <c r="A3157" s="2">
        <v>46274</v>
      </c>
      <c r="B3157" s="1" t="s">
        <v>28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24</v>
      </c>
    </row>
    <row r="3161" spans="1:2" x14ac:dyDescent="0.35">
      <c r="A3161" s="2">
        <v>46275</v>
      </c>
      <c r="B3161" s="1" t="s">
        <v>24</v>
      </c>
    </row>
    <row r="3162" spans="1:2" x14ac:dyDescent="0.35">
      <c r="A3162" s="2">
        <v>46275</v>
      </c>
      <c r="B3162" s="1" t="s">
        <v>9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83</v>
      </c>
    </row>
    <row r="3165" spans="1:2" x14ac:dyDescent="0.35">
      <c r="A3165" s="2">
        <v>46275</v>
      </c>
      <c r="B3165" s="1" t="s">
        <v>83</v>
      </c>
    </row>
    <row r="3166" spans="1:2" x14ac:dyDescent="0.35">
      <c r="A3166" s="2">
        <v>46275</v>
      </c>
      <c r="B3166" s="1" t="s">
        <v>83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24</v>
      </c>
    </row>
    <row r="3169" spans="1:2" x14ac:dyDescent="0.35">
      <c r="A3169" s="2">
        <v>46276</v>
      </c>
      <c r="B3169" s="1" t="s">
        <v>19</v>
      </c>
    </row>
    <row r="3170" spans="1:2" x14ac:dyDescent="0.35">
      <c r="A3170" s="2">
        <v>46276</v>
      </c>
      <c r="B3170" s="1" t="s">
        <v>24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84</v>
      </c>
    </row>
    <row r="3175" spans="1:2" x14ac:dyDescent="0.35">
      <c r="A3175" s="2">
        <v>46276</v>
      </c>
      <c r="B3175" s="1" t="s">
        <v>84</v>
      </c>
    </row>
    <row r="3176" spans="1:2" x14ac:dyDescent="0.35">
      <c r="A3176" s="2">
        <v>46276</v>
      </c>
      <c r="B3176" s="1" t="s">
        <v>84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9</v>
      </c>
    </row>
    <row r="3180" spans="1:2" x14ac:dyDescent="0.35">
      <c r="A3180" s="2">
        <v>46276</v>
      </c>
      <c r="B3180" s="1" t="s">
        <v>9</v>
      </c>
    </row>
    <row r="3181" spans="1:2" x14ac:dyDescent="0.35">
      <c r="A3181" s="2">
        <v>46276</v>
      </c>
      <c r="B3181" s="1" t="s">
        <v>9</v>
      </c>
    </row>
    <row r="3182" spans="1:2" x14ac:dyDescent="0.35">
      <c r="A3182" s="2">
        <v>46280</v>
      </c>
      <c r="B3182" s="1" t="s">
        <v>84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9</v>
      </c>
    </row>
    <row r="3187" spans="1:2" x14ac:dyDescent="0.35">
      <c r="A3187" s="2">
        <v>46280</v>
      </c>
      <c r="B3187" s="1" t="s">
        <v>19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84</v>
      </c>
    </row>
    <row r="3192" spans="1:2" x14ac:dyDescent="0.35">
      <c r="A3192" s="2">
        <v>46281</v>
      </c>
      <c r="B3192" s="1" t="s">
        <v>84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9</v>
      </c>
    </row>
    <row r="3195" spans="1:2" x14ac:dyDescent="0.35">
      <c r="A3195" s="2">
        <v>46281</v>
      </c>
      <c r="B3195" s="1" t="s">
        <v>83</v>
      </c>
    </row>
    <row r="3196" spans="1:2" x14ac:dyDescent="0.35">
      <c r="A3196" s="2">
        <v>46281</v>
      </c>
      <c r="B3196" s="1" t="s">
        <v>83</v>
      </c>
    </row>
    <row r="3197" spans="1:2" x14ac:dyDescent="0.35">
      <c r="A3197" s="2">
        <v>46281</v>
      </c>
      <c r="B3197" s="1" t="s">
        <v>9</v>
      </c>
    </row>
    <row r="3198" spans="1:2" x14ac:dyDescent="0.35">
      <c r="A3198" s="2">
        <v>46281</v>
      </c>
      <c r="B3198" s="1" t="s">
        <v>9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19</v>
      </c>
    </row>
    <row r="3201" spans="1:2" x14ac:dyDescent="0.35">
      <c r="A3201" s="2">
        <v>46281</v>
      </c>
      <c r="B3201" s="1" t="s">
        <v>19</v>
      </c>
    </row>
    <row r="3202" spans="1:2" x14ac:dyDescent="0.35">
      <c r="A3202" s="2">
        <v>46281</v>
      </c>
      <c r="B3202" s="1" t="s">
        <v>19</v>
      </c>
    </row>
    <row r="3203" spans="1:2" x14ac:dyDescent="0.35">
      <c r="A3203" s="2">
        <v>46281</v>
      </c>
      <c r="B3203" s="1" t="s">
        <v>83</v>
      </c>
    </row>
    <row r="3204" spans="1:2" x14ac:dyDescent="0.35">
      <c r="A3204" s="2">
        <v>46281</v>
      </c>
      <c r="B3204" s="1" t="s">
        <v>84</v>
      </c>
    </row>
    <row r="3205" spans="1:2" x14ac:dyDescent="0.35">
      <c r="A3205" s="2">
        <v>46281</v>
      </c>
      <c r="B3205" s="1" t="s">
        <v>84</v>
      </c>
    </row>
    <row r="3206" spans="1:2" x14ac:dyDescent="0.35">
      <c r="A3206" s="2">
        <v>46281</v>
      </c>
      <c r="B3206" s="1" t="s">
        <v>84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19</v>
      </c>
    </row>
    <row r="3209" spans="1:2" x14ac:dyDescent="0.35">
      <c r="A3209" s="2">
        <v>46282</v>
      </c>
      <c r="B3209" s="1" t="s">
        <v>19</v>
      </c>
    </row>
    <row r="3210" spans="1:2" x14ac:dyDescent="0.35">
      <c r="A3210" s="2">
        <v>46282</v>
      </c>
      <c r="B3210" s="1" t="s">
        <v>9</v>
      </c>
    </row>
    <row r="3211" spans="1:2" x14ac:dyDescent="0.35">
      <c r="A3211" s="2">
        <v>46282</v>
      </c>
      <c r="B3211" s="1" t="s">
        <v>9</v>
      </c>
    </row>
    <row r="3212" spans="1:2" x14ac:dyDescent="0.35">
      <c r="A3212" s="2">
        <v>46282</v>
      </c>
      <c r="B3212" s="1" t="s">
        <v>9</v>
      </c>
    </row>
    <row r="3213" spans="1:2" x14ac:dyDescent="0.35">
      <c r="A3213" s="2">
        <v>46282</v>
      </c>
      <c r="B3213" s="1" t="s">
        <v>9</v>
      </c>
    </row>
    <row r="3214" spans="1:2" x14ac:dyDescent="0.35">
      <c r="A3214" s="2">
        <v>46282</v>
      </c>
      <c r="B3214" s="1" t="s">
        <v>83</v>
      </c>
    </row>
    <row r="3215" spans="1:2" x14ac:dyDescent="0.35">
      <c r="A3215" s="2">
        <v>46282</v>
      </c>
      <c r="B3215" s="1" t="s">
        <v>83</v>
      </c>
    </row>
    <row r="3216" spans="1:2" x14ac:dyDescent="0.35">
      <c r="A3216" s="2">
        <v>46282</v>
      </c>
      <c r="B3216" s="1" t="s">
        <v>83</v>
      </c>
    </row>
    <row r="3217" spans="1:2" x14ac:dyDescent="0.35">
      <c r="A3217" s="2">
        <v>46282</v>
      </c>
      <c r="B3217" s="1" t="s">
        <v>83</v>
      </c>
    </row>
    <row r="3218" spans="1:2" x14ac:dyDescent="0.35">
      <c r="A3218" s="2">
        <v>46282</v>
      </c>
      <c r="B3218" s="1" t="s">
        <v>83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83</v>
      </c>
    </row>
    <row r="3221" spans="1:2" x14ac:dyDescent="0.35">
      <c r="A3221" s="2">
        <v>46283</v>
      </c>
      <c r="B3221" s="1" t="s">
        <v>84</v>
      </c>
    </row>
    <row r="3222" spans="1:2" x14ac:dyDescent="0.35">
      <c r="A3222" s="2">
        <v>46283</v>
      </c>
      <c r="B3222" s="1" t="s">
        <v>84</v>
      </c>
    </row>
    <row r="3223" spans="1:2" x14ac:dyDescent="0.35">
      <c r="A3223" s="2">
        <v>46283</v>
      </c>
      <c r="B3223" s="1" t="s">
        <v>84</v>
      </c>
    </row>
    <row r="3224" spans="1:2" x14ac:dyDescent="0.35">
      <c r="A3224" s="2">
        <v>46283</v>
      </c>
      <c r="B3224" s="1" t="s">
        <v>84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19</v>
      </c>
    </row>
    <row r="3230" spans="1:2" x14ac:dyDescent="0.35">
      <c r="A3230" s="2">
        <v>46283</v>
      </c>
      <c r="B3230" s="1" t="s">
        <v>19</v>
      </c>
    </row>
    <row r="3231" spans="1:2" x14ac:dyDescent="0.35">
      <c r="A3231" s="2">
        <v>46283</v>
      </c>
      <c r="B3231" s="1" t="s">
        <v>19</v>
      </c>
    </row>
    <row r="3232" spans="1:2" x14ac:dyDescent="0.35">
      <c r="A3232" s="2">
        <v>46283</v>
      </c>
      <c r="B3232" s="1" t="s">
        <v>19</v>
      </c>
    </row>
    <row r="3233" spans="1:2" x14ac:dyDescent="0.35">
      <c r="A3233" s="2">
        <v>46286</v>
      </c>
      <c r="B3233" s="1" t="s">
        <v>19</v>
      </c>
    </row>
    <row r="3234" spans="1:2" x14ac:dyDescent="0.35">
      <c r="A3234" s="2">
        <v>46286</v>
      </c>
      <c r="B3234" s="1" t="s">
        <v>84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9</v>
      </c>
    </row>
    <row r="3239" spans="1:2" x14ac:dyDescent="0.35">
      <c r="A3239" s="2">
        <v>46286</v>
      </c>
      <c r="B3239" s="1" t="s">
        <v>9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9</v>
      </c>
    </row>
    <row r="3243" spans="1:2" x14ac:dyDescent="0.35">
      <c r="A3243" s="2">
        <v>46287</v>
      </c>
      <c r="B3243" s="1" t="s">
        <v>9</v>
      </c>
    </row>
    <row r="3244" spans="1:2" x14ac:dyDescent="0.35">
      <c r="A3244" s="2">
        <v>46287</v>
      </c>
      <c r="B3244" s="1" t="s">
        <v>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9</v>
      </c>
    </row>
    <row r="3249" spans="1:2" x14ac:dyDescent="0.35">
      <c r="A3249" s="2">
        <v>46287</v>
      </c>
      <c r="B3249" s="1" t="s">
        <v>9</v>
      </c>
    </row>
    <row r="3250" spans="1:2" x14ac:dyDescent="0.35">
      <c r="A3250" s="2">
        <v>46287</v>
      </c>
      <c r="B3250" s="1" t="s">
        <v>19</v>
      </c>
    </row>
    <row r="3251" spans="1:2" x14ac:dyDescent="0.35">
      <c r="A3251" s="2">
        <v>46287</v>
      </c>
      <c r="B3251" s="1" t="s">
        <v>84</v>
      </c>
    </row>
    <row r="3252" spans="1:2" x14ac:dyDescent="0.35">
      <c r="A3252" s="2">
        <v>46287</v>
      </c>
      <c r="B3252" s="1" t="s">
        <v>19</v>
      </c>
    </row>
    <row r="3253" spans="1:2" x14ac:dyDescent="0.35">
      <c r="A3253" s="2">
        <v>46287</v>
      </c>
      <c r="B3253" s="1" t="s">
        <v>19</v>
      </c>
    </row>
    <row r="3254" spans="1:2" x14ac:dyDescent="0.35">
      <c r="A3254" s="2">
        <v>46287</v>
      </c>
      <c r="B3254" s="1" t="s">
        <v>19</v>
      </c>
    </row>
    <row r="3255" spans="1:2" x14ac:dyDescent="0.35">
      <c r="A3255" s="2">
        <v>46287</v>
      </c>
      <c r="B3255" s="1" t="s">
        <v>84</v>
      </c>
    </row>
    <row r="3256" spans="1:2" x14ac:dyDescent="0.35">
      <c r="A3256" s="2">
        <v>46287</v>
      </c>
      <c r="B3256" s="1" t="s">
        <v>19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84</v>
      </c>
    </row>
    <row r="3260" spans="1:2" x14ac:dyDescent="0.35">
      <c r="A3260" s="2">
        <v>46288</v>
      </c>
      <c r="B3260" s="1" t="s">
        <v>19</v>
      </c>
    </row>
    <row r="3261" spans="1:2" x14ac:dyDescent="0.35">
      <c r="A3261" s="2">
        <v>46288</v>
      </c>
      <c r="B3261" s="1" t="s">
        <v>9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24</v>
      </c>
    </row>
    <row r="3270" spans="1:2" x14ac:dyDescent="0.35">
      <c r="A3270" s="2">
        <v>46289</v>
      </c>
      <c r="B3270" s="1" t="s">
        <v>24</v>
      </c>
    </row>
    <row r="3271" spans="1:2" x14ac:dyDescent="0.35">
      <c r="A3271" s="2">
        <v>46289</v>
      </c>
      <c r="B3271" s="1" t="s">
        <v>24</v>
      </c>
    </row>
    <row r="3272" spans="1:2" x14ac:dyDescent="0.35">
      <c r="A3272" s="2">
        <v>46289</v>
      </c>
      <c r="B3272" s="1" t="s">
        <v>24</v>
      </c>
    </row>
    <row r="3273" spans="1:2" x14ac:dyDescent="0.35">
      <c r="A3273" s="2">
        <v>46289</v>
      </c>
      <c r="B3273" s="1" t="s">
        <v>24</v>
      </c>
    </row>
    <row r="3274" spans="1:2" x14ac:dyDescent="0.35">
      <c r="A3274" s="2">
        <v>46289</v>
      </c>
      <c r="B3274" s="1" t="s">
        <v>24</v>
      </c>
    </row>
    <row r="3275" spans="1:2" x14ac:dyDescent="0.35">
      <c r="A3275" s="2">
        <v>46289</v>
      </c>
      <c r="B3275" s="1" t="s">
        <v>24</v>
      </c>
    </row>
    <row r="3276" spans="1:2" x14ac:dyDescent="0.35">
      <c r="A3276" s="2">
        <v>46289</v>
      </c>
      <c r="B3276" s="1" t="s">
        <v>24</v>
      </c>
    </row>
    <row r="3277" spans="1:2" x14ac:dyDescent="0.35">
      <c r="A3277" s="2">
        <v>46289</v>
      </c>
      <c r="B3277" s="1" t="s">
        <v>19</v>
      </c>
    </row>
    <row r="3278" spans="1:2" x14ac:dyDescent="0.35">
      <c r="A3278" s="2">
        <v>46289</v>
      </c>
      <c r="B3278" s="1" t="s">
        <v>19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84</v>
      </c>
    </row>
    <row r="3281" spans="1:2" x14ac:dyDescent="0.35">
      <c r="A3281" s="2">
        <v>46289</v>
      </c>
      <c r="B3281" s="1" t="s">
        <v>9</v>
      </c>
    </row>
    <row r="3282" spans="1:2" x14ac:dyDescent="0.35">
      <c r="A3282" s="2">
        <v>46289</v>
      </c>
      <c r="B3282" s="1" t="s">
        <v>9</v>
      </c>
    </row>
    <row r="3283" spans="1:2" x14ac:dyDescent="0.35">
      <c r="A3283" s="2">
        <v>46289</v>
      </c>
      <c r="B3283" s="1" t="s">
        <v>9</v>
      </c>
    </row>
    <row r="3284" spans="1:2" x14ac:dyDescent="0.35">
      <c r="A3284" s="2">
        <v>46289</v>
      </c>
      <c r="B3284" s="1" t="s">
        <v>9</v>
      </c>
    </row>
    <row r="3285" spans="1:2" x14ac:dyDescent="0.35">
      <c r="A3285" s="2">
        <v>46289</v>
      </c>
      <c r="B3285" s="1" t="s">
        <v>9</v>
      </c>
    </row>
    <row r="3286" spans="1:2" x14ac:dyDescent="0.35">
      <c r="A3286" s="2">
        <v>46289</v>
      </c>
      <c r="B3286" s="1" t="s">
        <v>9</v>
      </c>
    </row>
    <row r="3287" spans="1:2" x14ac:dyDescent="0.35">
      <c r="A3287" s="2">
        <v>46289</v>
      </c>
      <c r="B3287" s="1" t="s">
        <v>9</v>
      </c>
    </row>
    <row r="3288" spans="1:2" x14ac:dyDescent="0.35">
      <c r="A3288" s="2">
        <v>46289</v>
      </c>
      <c r="B3288" s="1" t="s">
        <v>9</v>
      </c>
    </row>
    <row r="3289" spans="1:2" x14ac:dyDescent="0.35">
      <c r="A3289" s="2">
        <v>46289</v>
      </c>
      <c r="B3289" s="1" t="s">
        <v>9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19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28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19</v>
      </c>
    </row>
    <row r="3311" spans="1:2" x14ac:dyDescent="0.35">
      <c r="A3311" s="2">
        <v>46295</v>
      </c>
      <c r="B3311" s="1" t="s">
        <v>28</v>
      </c>
    </row>
    <row r="3312" spans="1:2" x14ac:dyDescent="0.35">
      <c r="A3312" s="2">
        <v>46295</v>
      </c>
      <c r="B3312" s="1" t="s">
        <v>28</v>
      </c>
    </row>
    <row r="3313" spans="1:2" x14ac:dyDescent="0.35">
      <c r="A3313" s="2">
        <v>46295</v>
      </c>
      <c r="B3313" s="1" t="s">
        <v>28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84</v>
      </c>
    </row>
    <row r="3319" spans="1:2" x14ac:dyDescent="0.35">
      <c r="A3319" s="2">
        <v>46295</v>
      </c>
      <c r="B3319" s="1" t="s">
        <v>24</v>
      </c>
    </row>
    <row r="3320" spans="1:2" x14ac:dyDescent="0.35">
      <c r="A3320" s="2">
        <v>46295</v>
      </c>
      <c r="B3320" s="1" t="s">
        <v>84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28</v>
      </c>
    </row>
    <row r="3323" spans="1:2" x14ac:dyDescent="0.35">
      <c r="A3323" s="2">
        <v>46296</v>
      </c>
      <c r="B3323" s="1" t="s">
        <v>28</v>
      </c>
    </row>
    <row r="3324" spans="1:2" x14ac:dyDescent="0.35">
      <c r="A3324" s="2">
        <v>46296</v>
      </c>
      <c r="B3324" s="1" t="s">
        <v>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19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9</v>
      </c>
    </row>
    <row r="3329" spans="1:2" x14ac:dyDescent="0.35">
      <c r="A3329" s="2">
        <v>46296</v>
      </c>
      <c r="B3329" s="1" t="s">
        <v>9</v>
      </c>
    </row>
    <row r="3330" spans="1:2" x14ac:dyDescent="0.35">
      <c r="A3330" s="2">
        <v>46296</v>
      </c>
      <c r="B3330" s="1" t="s">
        <v>9</v>
      </c>
    </row>
    <row r="3331" spans="1:2" x14ac:dyDescent="0.35">
      <c r="A3331" s="2">
        <v>46296</v>
      </c>
      <c r="B3331" s="1" t="s">
        <v>24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84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9</v>
      </c>
    </row>
    <row r="3339" spans="1:2" x14ac:dyDescent="0.35">
      <c r="A3339" s="2">
        <v>46297</v>
      </c>
      <c r="B3339" s="1" t="s">
        <v>9</v>
      </c>
    </row>
    <row r="3340" spans="1:2" x14ac:dyDescent="0.35">
      <c r="A3340" s="2">
        <v>46297</v>
      </c>
      <c r="B3340" s="1" t="s">
        <v>9</v>
      </c>
    </row>
    <row r="3341" spans="1:2" x14ac:dyDescent="0.35">
      <c r="A3341" s="2">
        <v>46297</v>
      </c>
      <c r="B3341" s="1" t="s">
        <v>9</v>
      </c>
    </row>
    <row r="3342" spans="1:2" x14ac:dyDescent="0.35">
      <c r="A3342" s="2">
        <v>46297</v>
      </c>
      <c r="B3342" s="1" t="s">
        <v>9</v>
      </c>
    </row>
    <row r="3343" spans="1:2" x14ac:dyDescent="0.35">
      <c r="A3343" s="2">
        <v>46297</v>
      </c>
      <c r="B3343" s="1" t="s">
        <v>28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22</v>
      </c>
    </row>
    <row r="3349" spans="1:2" x14ac:dyDescent="0.35">
      <c r="A3349" s="2">
        <v>46297</v>
      </c>
      <c r="B3349" s="1" t="s">
        <v>22</v>
      </c>
    </row>
    <row r="3350" spans="1:2" x14ac:dyDescent="0.35">
      <c r="A3350" s="2">
        <v>46297</v>
      </c>
      <c r="B3350" s="1" t="s">
        <v>22</v>
      </c>
    </row>
    <row r="3351" spans="1:2" x14ac:dyDescent="0.35">
      <c r="A3351" s="2">
        <v>46297</v>
      </c>
      <c r="B3351" s="1" t="s">
        <v>84</v>
      </c>
    </row>
    <row r="3352" spans="1:2" x14ac:dyDescent="0.35">
      <c r="A3352" s="2">
        <v>46297</v>
      </c>
      <c r="B3352" s="1" t="s">
        <v>84</v>
      </c>
    </row>
    <row r="3353" spans="1:2" x14ac:dyDescent="0.35">
      <c r="A3353" s="2">
        <v>46300</v>
      </c>
      <c r="B3353" s="1" t="s">
        <v>24</v>
      </c>
    </row>
    <row r="3354" spans="1:2" x14ac:dyDescent="0.35">
      <c r="A3354" s="2">
        <v>46300</v>
      </c>
      <c r="B3354" s="1" t="s">
        <v>24</v>
      </c>
    </row>
    <row r="3355" spans="1:2" x14ac:dyDescent="0.35">
      <c r="A3355" s="2">
        <v>46300</v>
      </c>
      <c r="B3355" s="1" t="s">
        <v>24</v>
      </c>
    </row>
    <row r="3356" spans="1:2" x14ac:dyDescent="0.35">
      <c r="A3356" s="2">
        <v>46300</v>
      </c>
      <c r="B3356" s="1" t="s">
        <v>24</v>
      </c>
    </row>
    <row r="3357" spans="1:2" x14ac:dyDescent="0.35">
      <c r="A3357" s="2">
        <v>46300</v>
      </c>
      <c r="B3357" s="1" t="s">
        <v>24</v>
      </c>
    </row>
    <row r="3358" spans="1:2" x14ac:dyDescent="0.35">
      <c r="A3358" s="2">
        <v>46300</v>
      </c>
      <c r="B3358" s="1" t="s">
        <v>24</v>
      </c>
    </row>
    <row r="3359" spans="1:2" x14ac:dyDescent="0.35">
      <c r="A3359" s="2">
        <v>46300</v>
      </c>
      <c r="B3359" s="1" t="s">
        <v>19</v>
      </c>
    </row>
    <row r="3360" spans="1:2" x14ac:dyDescent="0.35">
      <c r="A3360" s="2">
        <v>46300</v>
      </c>
      <c r="B3360" s="1" t="s">
        <v>19</v>
      </c>
    </row>
    <row r="3361" spans="1:2" x14ac:dyDescent="0.35">
      <c r="A3361" s="2">
        <v>46300</v>
      </c>
      <c r="B3361" s="1" t="s">
        <v>19</v>
      </c>
    </row>
    <row r="3362" spans="1:2" x14ac:dyDescent="0.35">
      <c r="A3362" s="2">
        <v>46300</v>
      </c>
      <c r="B3362" s="1" t="s">
        <v>19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19</v>
      </c>
    </row>
    <row r="3365" spans="1:2" x14ac:dyDescent="0.35">
      <c r="A3365" s="2">
        <v>46300</v>
      </c>
      <c r="B3365" s="1" t="s">
        <v>19</v>
      </c>
    </row>
    <row r="3366" spans="1:2" x14ac:dyDescent="0.35">
      <c r="A3366" s="2">
        <v>46300</v>
      </c>
      <c r="B3366" s="1" t="s">
        <v>28</v>
      </c>
    </row>
    <row r="3367" spans="1:2" x14ac:dyDescent="0.35">
      <c r="A3367" s="2">
        <v>46300</v>
      </c>
      <c r="B3367" s="1" t="s">
        <v>28</v>
      </c>
    </row>
    <row r="3368" spans="1:2" x14ac:dyDescent="0.35">
      <c r="A3368" s="2">
        <v>46300</v>
      </c>
      <c r="B3368" s="1" t="s">
        <v>84</v>
      </c>
    </row>
    <row r="3369" spans="1:2" x14ac:dyDescent="0.35">
      <c r="A3369" s="2">
        <v>46300</v>
      </c>
      <c r="B3369" s="1" t="s">
        <v>84</v>
      </c>
    </row>
    <row r="3370" spans="1:2" x14ac:dyDescent="0.35">
      <c r="A3370" s="2">
        <v>46300</v>
      </c>
      <c r="B3370" s="1" t="s">
        <v>84</v>
      </c>
    </row>
    <row r="3371" spans="1:2" x14ac:dyDescent="0.35">
      <c r="A3371" s="2">
        <v>46300</v>
      </c>
      <c r="B3371" s="1" t="s">
        <v>84</v>
      </c>
    </row>
    <row r="3372" spans="1:2" x14ac:dyDescent="0.35">
      <c r="A3372" s="2">
        <v>46300</v>
      </c>
      <c r="B3372" s="1" t="s">
        <v>9</v>
      </c>
    </row>
    <row r="3373" spans="1:2" x14ac:dyDescent="0.35">
      <c r="A3373" s="2">
        <v>46300</v>
      </c>
      <c r="B3373" s="1" t="s">
        <v>9</v>
      </c>
    </row>
    <row r="3374" spans="1:2" x14ac:dyDescent="0.35">
      <c r="A3374" s="2">
        <v>46300</v>
      </c>
      <c r="B3374" s="1" t="s">
        <v>9</v>
      </c>
    </row>
    <row r="3375" spans="1:2" x14ac:dyDescent="0.35">
      <c r="A3375" s="2">
        <v>46300</v>
      </c>
      <c r="B3375" s="1" t="s">
        <v>9</v>
      </c>
    </row>
    <row r="3376" spans="1:2" x14ac:dyDescent="0.35">
      <c r="A3376" s="2">
        <v>46300</v>
      </c>
      <c r="B3376" s="1" t="s">
        <v>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19</v>
      </c>
    </row>
    <row r="3380" spans="1:2" x14ac:dyDescent="0.35">
      <c r="A3380" s="2">
        <v>46301</v>
      </c>
      <c r="B3380" s="1" t="s">
        <v>19</v>
      </c>
    </row>
    <row r="3381" spans="1:2" x14ac:dyDescent="0.35">
      <c r="A3381" s="2">
        <v>46301</v>
      </c>
      <c r="B3381" s="1" t="s">
        <v>19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24</v>
      </c>
    </row>
    <row r="3384" spans="1:2" x14ac:dyDescent="0.35">
      <c r="A3384" s="2">
        <v>46301</v>
      </c>
      <c r="B3384" s="1" t="s">
        <v>24</v>
      </c>
    </row>
    <row r="3385" spans="1:2" x14ac:dyDescent="0.35">
      <c r="A3385" s="2">
        <v>46301</v>
      </c>
      <c r="B3385" s="1" t="s">
        <v>24</v>
      </c>
    </row>
    <row r="3386" spans="1:2" x14ac:dyDescent="0.35">
      <c r="A3386" s="2">
        <v>46301</v>
      </c>
      <c r="B3386" s="1" t="s">
        <v>24</v>
      </c>
    </row>
    <row r="3387" spans="1:2" x14ac:dyDescent="0.35">
      <c r="A3387" s="2">
        <v>46301</v>
      </c>
      <c r="B3387" s="1" t="s">
        <v>24</v>
      </c>
    </row>
    <row r="3388" spans="1:2" x14ac:dyDescent="0.35">
      <c r="A3388" s="2">
        <v>46301</v>
      </c>
      <c r="B3388" s="1" t="s">
        <v>19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19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84</v>
      </c>
    </row>
    <row r="3395" spans="1:2" x14ac:dyDescent="0.35">
      <c r="A3395" s="2">
        <v>46302</v>
      </c>
      <c r="B3395" s="1" t="s">
        <v>84</v>
      </c>
    </row>
    <row r="3396" spans="1:2" x14ac:dyDescent="0.35">
      <c r="A3396" s="2">
        <v>46302</v>
      </c>
      <c r="B3396" s="1" t="s">
        <v>19</v>
      </c>
    </row>
    <row r="3397" spans="1:2" x14ac:dyDescent="0.35">
      <c r="A3397" s="2">
        <v>46302</v>
      </c>
      <c r="B3397" s="1" t="s">
        <v>9</v>
      </c>
    </row>
    <row r="3398" spans="1:2" x14ac:dyDescent="0.35">
      <c r="A3398" s="2">
        <v>46303</v>
      </c>
      <c r="B3398" s="1" t="s">
        <v>19</v>
      </c>
    </row>
    <row r="3399" spans="1:2" x14ac:dyDescent="0.35">
      <c r="A3399" s="2">
        <v>46303</v>
      </c>
      <c r="B3399" s="1" t="s">
        <v>19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9</v>
      </c>
    </row>
    <row r="3403" spans="1:2" x14ac:dyDescent="0.35">
      <c r="A3403" s="2">
        <v>46303</v>
      </c>
      <c r="B3403" s="1" t="s">
        <v>9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22</v>
      </c>
    </row>
    <row r="3416" spans="1:2" x14ac:dyDescent="0.35">
      <c r="A3416" s="2">
        <v>46303</v>
      </c>
      <c r="B3416" s="1" t="s">
        <v>22</v>
      </c>
    </row>
    <row r="3417" spans="1:2" x14ac:dyDescent="0.35">
      <c r="A3417" s="2">
        <v>46304</v>
      </c>
      <c r="B3417" s="1" t="s">
        <v>28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9</v>
      </c>
    </row>
    <row r="3420" spans="1:2" x14ac:dyDescent="0.35">
      <c r="A3420" s="2">
        <v>46304</v>
      </c>
      <c r="B3420" s="1" t="s">
        <v>9</v>
      </c>
    </row>
    <row r="3421" spans="1:2" x14ac:dyDescent="0.35">
      <c r="A3421" s="2">
        <v>46304</v>
      </c>
      <c r="B3421" s="1" t="s">
        <v>9</v>
      </c>
    </row>
    <row r="3422" spans="1:2" x14ac:dyDescent="0.35">
      <c r="A3422" s="2">
        <v>46304</v>
      </c>
      <c r="B3422" s="1" t="s">
        <v>9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19</v>
      </c>
    </row>
    <row r="3425" spans="1:2" x14ac:dyDescent="0.35">
      <c r="A3425" s="2">
        <v>46304</v>
      </c>
      <c r="B3425" s="1" t="s">
        <v>19</v>
      </c>
    </row>
    <row r="3426" spans="1:2" x14ac:dyDescent="0.35">
      <c r="A3426" s="2">
        <v>46304</v>
      </c>
      <c r="B3426" s="1" t="s">
        <v>19</v>
      </c>
    </row>
    <row r="3427" spans="1:2" x14ac:dyDescent="0.35">
      <c r="A3427" s="2">
        <v>46304</v>
      </c>
      <c r="B3427" s="1" t="s">
        <v>84</v>
      </c>
    </row>
    <row r="3428" spans="1:2" x14ac:dyDescent="0.35">
      <c r="A3428" s="2">
        <v>46308</v>
      </c>
      <c r="B3428" s="1" t="s">
        <v>83</v>
      </c>
    </row>
    <row r="3429" spans="1:2" x14ac:dyDescent="0.35">
      <c r="A3429" s="2">
        <v>46308</v>
      </c>
      <c r="B3429" s="1" t="s">
        <v>83</v>
      </c>
    </row>
    <row r="3430" spans="1:2" x14ac:dyDescent="0.35">
      <c r="A3430" s="2">
        <v>46308</v>
      </c>
      <c r="B3430" s="1" t="s">
        <v>83</v>
      </c>
    </row>
    <row r="3431" spans="1:2" x14ac:dyDescent="0.35">
      <c r="A3431" s="2">
        <v>46308</v>
      </c>
      <c r="B3431" s="1" t="s">
        <v>83</v>
      </c>
    </row>
    <row r="3432" spans="1:2" x14ac:dyDescent="0.35">
      <c r="A3432" s="2">
        <v>46308</v>
      </c>
      <c r="B3432" s="1" t="s">
        <v>83</v>
      </c>
    </row>
    <row r="3433" spans="1:2" x14ac:dyDescent="0.35">
      <c r="A3433" s="2">
        <v>46308</v>
      </c>
      <c r="B3433" s="1" t="s">
        <v>84</v>
      </c>
    </row>
    <row r="3434" spans="1:2" x14ac:dyDescent="0.35">
      <c r="A3434" s="2">
        <v>46308</v>
      </c>
      <c r="B3434" s="1" t="s">
        <v>84</v>
      </c>
    </row>
    <row r="3435" spans="1:2" x14ac:dyDescent="0.35">
      <c r="A3435" s="2">
        <v>46308</v>
      </c>
      <c r="B3435" s="1" t="s">
        <v>84</v>
      </c>
    </row>
    <row r="3436" spans="1:2" x14ac:dyDescent="0.35">
      <c r="A3436" s="2">
        <v>46308</v>
      </c>
      <c r="B3436" s="1" t="s">
        <v>84</v>
      </c>
    </row>
    <row r="3437" spans="1:2" x14ac:dyDescent="0.35">
      <c r="A3437" s="2">
        <v>46308</v>
      </c>
      <c r="B3437" s="1" t="s">
        <v>9</v>
      </c>
    </row>
    <row r="3438" spans="1:2" x14ac:dyDescent="0.35">
      <c r="A3438" s="2">
        <v>46308</v>
      </c>
      <c r="B3438" s="1" t="s">
        <v>9</v>
      </c>
    </row>
    <row r="3439" spans="1:2" x14ac:dyDescent="0.35">
      <c r="A3439" s="2">
        <v>46308</v>
      </c>
      <c r="B3439" s="1" t="s">
        <v>9</v>
      </c>
    </row>
    <row r="3440" spans="1:2" x14ac:dyDescent="0.35">
      <c r="A3440" s="2">
        <v>46308</v>
      </c>
      <c r="B3440" s="1" t="s">
        <v>19</v>
      </c>
    </row>
    <row r="3441" spans="1:2" x14ac:dyDescent="0.35">
      <c r="A3441" s="2">
        <v>46308</v>
      </c>
      <c r="B3441" s="1" t="s">
        <v>19</v>
      </c>
    </row>
    <row r="3442" spans="1:2" x14ac:dyDescent="0.35">
      <c r="A3442" s="2">
        <v>46308</v>
      </c>
      <c r="B3442" s="1" t="s">
        <v>19</v>
      </c>
    </row>
    <row r="3443" spans="1:2" x14ac:dyDescent="0.35">
      <c r="A3443" s="2">
        <v>46308</v>
      </c>
      <c r="B3443" s="1" t="s">
        <v>83</v>
      </c>
    </row>
    <row r="3444" spans="1:2" x14ac:dyDescent="0.35">
      <c r="A3444" s="2">
        <v>46308</v>
      </c>
      <c r="B3444" s="1" t="s">
        <v>24</v>
      </c>
    </row>
    <row r="3445" spans="1:2" x14ac:dyDescent="0.35">
      <c r="A3445" s="2">
        <v>46308</v>
      </c>
      <c r="B3445" s="1" t="s">
        <v>24</v>
      </c>
    </row>
    <row r="3446" spans="1:2" x14ac:dyDescent="0.35">
      <c r="A3446" s="2">
        <v>46308</v>
      </c>
      <c r="B3446" s="1" t="s">
        <v>24</v>
      </c>
    </row>
    <row r="3447" spans="1:2" x14ac:dyDescent="0.35">
      <c r="A3447" s="2">
        <v>46308</v>
      </c>
      <c r="B3447" s="1" t="s">
        <v>24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24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19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46311</v>
      </c>
      <c r="B3457" s="1" t="s">
        <v>19</v>
      </c>
    </row>
    <row r="3458" spans="1:2" x14ac:dyDescent="0.35">
      <c r="A3458" s="2">
        <v>46311</v>
      </c>
      <c r="B3458" s="1" t="s">
        <v>19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35"/>
  <sheetViews>
    <sheetView showGridLines="0" topLeftCell="A1418" workbookViewId="0">
      <selection activeCell="A1436" sqref="A1436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41"/>
  <sheetViews>
    <sheetView showGridLines="0" workbookViewId="0">
      <selection sqref="A1:B641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46309</v>
      </c>
      <c r="B625" s="1" t="s">
        <v>88</v>
      </c>
    </row>
    <row r="626" spans="1:2" x14ac:dyDescent="0.35">
      <c r="A626" s="2">
        <v>46309</v>
      </c>
      <c r="B626" s="1" t="s">
        <v>28</v>
      </c>
    </row>
    <row r="627" spans="1:2" x14ac:dyDescent="0.35">
      <c r="A627" s="2">
        <v>46309</v>
      </c>
      <c r="B627" s="1" t="s">
        <v>88</v>
      </c>
    </row>
    <row r="628" spans="1:2" x14ac:dyDescent="0.35">
      <c r="A628" s="2">
        <v>46310</v>
      </c>
      <c r="B628" s="1" t="s">
        <v>19</v>
      </c>
    </row>
    <row r="629" spans="1:2" x14ac:dyDescent="0.35">
      <c r="A629" s="2">
        <v>46310</v>
      </c>
      <c r="B629" s="1" t="s">
        <v>21</v>
      </c>
    </row>
    <row r="630" spans="1:2" x14ac:dyDescent="0.35">
      <c r="A630" s="2">
        <v>46310</v>
      </c>
      <c r="B630" s="1" t="s">
        <v>3</v>
      </c>
    </row>
    <row r="631" spans="1:2" x14ac:dyDescent="0.35">
      <c r="A631" s="2">
        <v>46310</v>
      </c>
      <c r="B631" s="1" t="s">
        <v>88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9</v>
      </c>
    </row>
    <row r="635" spans="1:2" x14ac:dyDescent="0.35">
      <c r="A635" s="2">
        <v>46310</v>
      </c>
      <c r="B635" s="1" t="s">
        <v>21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41"/>
  <sheetViews>
    <sheetView showGridLines="0" topLeftCell="A620" workbookViewId="0">
      <selection activeCell="F637" sqref="F637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2"/>
  <sheetViews>
    <sheetView showGridLines="0" tabSelected="1" topLeftCell="I1" workbookViewId="0">
      <selection activeCell="M1" sqref="M1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21" t="s">
        <v>132</v>
      </c>
      <c r="C2" s="21" t="s">
        <v>138</v>
      </c>
      <c r="D2" s="21" t="s">
        <v>134</v>
      </c>
      <c r="E2" s="2">
        <v>46140</v>
      </c>
      <c r="F2" s="21" t="s">
        <v>139</v>
      </c>
      <c r="G2" s="21" t="s">
        <v>397</v>
      </c>
      <c r="H2" s="1">
        <v>923</v>
      </c>
      <c r="I2" s="21" t="s">
        <v>398</v>
      </c>
      <c r="J2" s="1">
        <v>43</v>
      </c>
      <c r="K2" s="21" t="s">
        <v>399</v>
      </c>
      <c r="L2" s="1" t="s">
        <v>400</v>
      </c>
      <c r="M2" s="2">
        <v>45786</v>
      </c>
      <c r="N2" s="21" t="s">
        <v>3</v>
      </c>
      <c r="O2" s="21" t="s">
        <v>145</v>
      </c>
      <c r="P2" s="21" t="s">
        <v>137</v>
      </c>
      <c r="Q2" s="2"/>
      <c r="R2" s="2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>MONTH(M2)</f>
        <v>5</v>
      </c>
    </row>
    <row r="3" spans="1:28" x14ac:dyDescent="0.35">
      <c r="A3" s="1">
        <v>1502648</v>
      </c>
      <c r="B3" s="21" t="s">
        <v>132</v>
      </c>
      <c r="C3" s="21" t="s">
        <v>428</v>
      </c>
      <c r="D3" s="21" t="s">
        <v>134</v>
      </c>
      <c r="E3" s="2">
        <v>46226</v>
      </c>
      <c r="F3" s="21" t="s">
        <v>155</v>
      </c>
      <c r="G3" s="21" t="s">
        <v>528</v>
      </c>
      <c r="H3" s="1">
        <v>2202</v>
      </c>
      <c r="I3" s="21" t="s">
        <v>529</v>
      </c>
      <c r="J3" s="1">
        <v>31</v>
      </c>
      <c r="K3" s="21" t="s">
        <v>530</v>
      </c>
      <c r="L3" s="1" t="s">
        <v>531</v>
      </c>
      <c r="M3" s="2">
        <v>45872</v>
      </c>
      <c r="N3" s="21" t="s">
        <v>3</v>
      </c>
      <c r="O3" s="21" t="s">
        <v>137</v>
      </c>
      <c r="P3" s="21" t="s">
        <v>137</v>
      </c>
      <c r="Q3" s="2"/>
      <c r="R3" s="21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>MONTH(M3)</f>
        <v>8</v>
      </c>
    </row>
    <row r="4" spans="1:28" x14ac:dyDescent="0.35">
      <c r="A4" s="1">
        <v>1356392</v>
      </c>
      <c r="B4" s="21" t="s">
        <v>132</v>
      </c>
      <c r="C4" s="21" t="s">
        <v>138</v>
      </c>
      <c r="D4" s="21" t="s">
        <v>134</v>
      </c>
      <c r="E4" s="2">
        <v>46055</v>
      </c>
      <c r="F4" s="21" t="s">
        <v>149</v>
      </c>
      <c r="G4" s="21" t="s">
        <v>199</v>
      </c>
      <c r="H4" s="1">
        <v>591</v>
      </c>
      <c r="I4" s="21" t="s">
        <v>254</v>
      </c>
      <c r="J4" s="1">
        <v>19</v>
      </c>
      <c r="K4" s="21" t="s">
        <v>208</v>
      </c>
      <c r="M4" s="2">
        <v>46057</v>
      </c>
      <c r="N4" s="21" t="s">
        <v>28</v>
      </c>
      <c r="O4" s="21" t="s">
        <v>137</v>
      </c>
      <c r="P4" s="21" t="s">
        <v>255</v>
      </c>
      <c r="Q4" s="2"/>
      <c r="R4" s="21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>MONTH(M4)</f>
        <v>2</v>
      </c>
    </row>
    <row r="5" spans="1:28" x14ac:dyDescent="0.35">
      <c r="A5" s="1">
        <v>55753</v>
      </c>
      <c r="B5" s="21" t="s">
        <v>132</v>
      </c>
      <c r="C5" s="21" t="s">
        <v>133</v>
      </c>
      <c r="D5" s="21" t="s">
        <v>134</v>
      </c>
      <c r="E5" s="2">
        <v>46055</v>
      </c>
      <c r="F5" s="21" t="s">
        <v>135</v>
      </c>
      <c r="G5" s="21" t="s">
        <v>248</v>
      </c>
      <c r="H5" s="1">
        <v>342</v>
      </c>
      <c r="I5" s="21" t="s">
        <v>249</v>
      </c>
      <c r="J5" s="1">
        <v>79</v>
      </c>
      <c r="K5" s="21" t="s">
        <v>250</v>
      </c>
      <c r="M5" s="2">
        <v>46065</v>
      </c>
      <c r="N5" s="21" t="s">
        <v>22</v>
      </c>
      <c r="O5" s="21" t="s">
        <v>137</v>
      </c>
      <c r="P5" s="21" t="s">
        <v>137</v>
      </c>
      <c r="Q5" s="2"/>
      <c r="R5" s="21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>MONTH(M5)</f>
        <v>2</v>
      </c>
    </row>
    <row r="6" spans="1:28" x14ac:dyDescent="0.35">
      <c r="A6" s="1">
        <v>1425699</v>
      </c>
      <c r="B6" s="21" t="s">
        <v>132</v>
      </c>
      <c r="C6" s="21" t="s">
        <v>133</v>
      </c>
      <c r="D6" s="21" t="s">
        <v>134</v>
      </c>
      <c r="E6" s="2">
        <v>46055</v>
      </c>
      <c r="F6" s="21" t="s">
        <v>135</v>
      </c>
      <c r="G6" s="21" t="s">
        <v>174</v>
      </c>
      <c r="H6" s="1">
        <v>1300</v>
      </c>
      <c r="I6" s="21" t="s">
        <v>256</v>
      </c>
      <c r="J6" s="1">
        <v>99</v>
      </c>
      <c r="K6" s="21" t="s">
        <v>257</v>
      </c>
      <c r="M6" s="2">
        <v>46065</v>
      </c>
      <c r="N6" s="21" t="s">
        <v>22</v>
      </c>
      <c r="O6" s="21" t="s">
        <v>136</v>
      </c>
      <c r="P6" s="21" t="s">
        <v>137</v>
      </c>
      <c r="Q6" s="2"/>
      <c r="R6" s="21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>MONTH(M6)</f>
        <v>2</v>
      </c>
    </row>
    <row r="7" spans="1:28" x14ac:dyDescent="0.35">
      <c r="A7" s="1">
        <v>1449656</v>
      </c>
      <c r="B7" s="21" t="s">
        <v>132</v>
      </c>
      <c r="C7" s="21" t="s">
        <v>138</v>
      </c>
      <c r="D7" s="21" t="s">
        <v>134</v>
      </c>
      <c r="E7" s="2">
        <v>46045</v>
      </c>
      <c r="F7" s="21" t="s">
        <v>149</v>
      </c>
      <c r="G7" s="21" t="s">
        <v>234</v>
      </c>
      <c r="H7" s="1">
        <v>55</v>
      </c>
      <c r="I7" s="21" t="s">
        <v>221</v>
      </c>
      <c r="J7" s="1">
        <v>89</v>
      </c>
      <c r="K7" s="21" t="s">
        <v>235</v>
      </c>
      <c r="M7" s="2">
        <v>46066</v>
      </c>
      <c r="N7" s="21" t="s">
        <v>24</v>
      </c>
      <c r="O7" s="21" t="s">
        <v>137</v>
      </c>
      <c r="P7" s="21" t="s">
        <v>236</v>
      </c>
      <c r="Q7" s="2"/>
      <c r="R7" s="21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>MONTH(M7)</f>
        <v>2</v>
      </c>
    </row>
    <row r="8" spans="1:28" x14ac:dyDescent="0.35">
      <c r="A8" s="1">
        <v>1497385</v>
      </c>
      <c r="B8" s="21" t="s">
        <v>132</v>
      </c>
      <c r="C8" s="21" t="s">
        <v>138</v>
      </c>
      <c r="D8" s="21" t="s">
        <v>134</v>
      </c>
      <c r="E8" s="2">
        <v>46055</v>
      </c>
      <c r="F8" s="21" t="s">
        <v>153</v>
      </c>
      <c r="G8" s="21" t="s">
        <v>237</v>
      </c>
      <c r="H8" s="1">
        <v>693</v>
      </c>
      <c r="I8" s="21" t="s">
        <v>162</v>
      </c>
      <c r="J8" s="1">
        <v>101</v>
      </c>
      <c r="K8" s="21" t="s">
        <v>205</v>
      </c>
      <c r="M8" s="2">
        <v>46069</v>
      </c>
      <c r="N8" s="21" t="s">
        <v>5</v>
      </c>
      <c r="O8" s="21" t="s">
        <v>137</v>
      </c>
      <c r="P8" s="21" t="s">
        <v>152</v>
      </c>
      <c r="Q8" s="2"/>
      <c r="R8" s="21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>MONTH(M8)</f>
        <v>2</v>
      </c>
    </row>
    <row r="9" spans="1:28" x14ac:dyDescent="0.35">
      <c r="A9" s="1">
        <v>1369405</v>
      </c>
      <c r="B9" s="21" t="s">
        <v>132</v>
      </c>
      <c r="C9" s="21" t="s">
        <v>133</v>
      </c>
      <c r="D9" s="21" t="s">
        <v>134</v>
      </c>
      <c r="E9" s="2">
        <v>46055</v>
      </c>
      <c r="F9" s="21" t="s">
        <v>146</v>
      </c>
      <c r="G9" s="21" t="s">
        <v>243</v>
      </c>
      <c r="H9" s="1">
        <v>420</v>
      </c>
      <c r="I9" s="21" t="s">
        <v>228</v>
      </c>
      <c r="J9" s="1">
        <v>81</v>
      </c>
      <c r="K9" s="21" t="s">
        <v>244</v>
      </c>
      <c r="M9" s="2">
        <v>46069</v>
      </c>
      <c r="N9" s="21" t="s">
        <v>9</v>
      </c>
      <c r="O9" s="21" t="s">
        <v>137</v>
      </c>
      <c r="P9" s="21" t="s">
        <v>137</v>
      </c>
      <c r="Q9" s="2"/>
      <c r="R9" s="21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>MONTH(M9)</f>
        <v>2</v>
      </c>
    </row>
    <row r="10" spans="1:28" x14ac:dyDescent="0.35">
      <c r="A10" s="1">
        <v>1369405</v>
      </c>
      <c r="B10" s="21" t="s">
        <v>132</v>
      </c>
      <c r="C10" s="21" t="s">
        <v>133</v>
      </c>
      <c r="D10" s="21" t="s">
        <v>134</v>
      </c>
      <c r="E10" s="2">
        <v>46055</v>
      </c>
      <c r="F10" s="21" t="s">
        <v>146</v>
      </c>
      <c r="G10" s="21" t="s">
        <v>243</v>
      </c>
      <c r="H10" s="1">
        <v>420</v>
      </c>
      <c r="I10" s="21" t="s">
        <v>228</v>
      </c>
      <c r="J10" s="1">
        <v>85</v>
      </c>
      <c r="K10" s="21" t="s">
        <v>244</v>
      </c>
      <c r="M10" s="2">
        <v>46069</v>
      </c>
      <c r="N10" s="21" t="s">
        <v>9</v>
      </c>
      <c r="O10" s="21" t="s">
        <v>137</v>
      </c>
      <c r="P10" s="21" t="s">
        <v>137</v>
      </c>
      <c r="Q10" s="2"/>
      <c r="R10" s="21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>MONTH(M10)</f>
        <v>2</v>
      </c>
    </row>
    <row r="11" spans="1:28" x14ac:dyDescent="0.35">
      <c r="A11" s="1">
        <v>1369405</v>
      </c>
      <c r="B11" s="21" t="s">
        <v>132</v>
      </c>
      <c r="C11" s="21" t="s">
        <v>133</v>
      </c>
      <c r="D11" s="21" t="s">
        <v>134</v>
      </c>
      <c r="E11" s="2">
        <v>46055</v>
      </c>
      <c r="F11" s="21" t="s">
        <v>146</v>
      </c>
      <c r="G11" s="21" t="s">
        <v>243</v>
      </c>
      <c r="H11" s="1">
        <v>420</v>
      </c>
      <c r="I11" s="21" t="s">
        <v>228</v>
      </c>
      <c r="J11" s="1">
        <v>83</v>
      </c>
      <c r="K11" s="21" t="s">
        <v>208</v>
      </c>
      <c r="M11" s="2">
        <v>46069</v>
      </c>
      <c r="N11" s="21" t="s">
        <v>9</v>
      </c>
      <c r="O11" s="21" t="s">
        <v>137</v>
      </c>
      <c r="P11" s="21" t="s">
        <v>137</v>
      </c>
      <c r="Q11" s="2"/>
      <c r="R11" s="21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>MONTH(M11)</f>
        <v>2</v>
      </c>
    </row>
    <row r="12" spans="1:28" x14ac:dyDescent="0.35">
      <c r="A12" s="1">
        <v>1395518</v>
      </c>
      <c r="B12" s="21" t="s">
        <v>132</v>
      </c>
      <c r="C12" s="21" t="s">
        <v>133</v>
      </c>
      <c r="D12" s="21" t="s">
        <v>134</v>
      </c>
      <c r="E12" s="2">
        <v>46055</v>
      </c>
      <c r="F12" s="21" t="s">
        <v>153</v>
      </c>
      <c r="G12" s="21" t="s">
        <v>264</v>
      </c>
      <c r="H12" s="1">
        <v>257</v>
      </c>
      <c r="I12" s="21" t="s">
        <v>154</v>
      </c>
      <c r="J12" s="1">
        <v>58</v>
      </c>
      <c r="K12" s="21" t="s">
        <v>265</v>
      </c>
      <c r="M12" s="2">
        <v>46069</v>
      </c>
      <c r="N12" s="21" t="s">
        <v>5</v>
      </c>
      <c r="O12" s="21" t="s">
        <v>145</v>
      </c>
      <c r="P12" s="21" t="s">
        <v>266</v>
      </c>
      <c r="Q12" s="2"/>
      <c r="R12" s="21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>MONTH(M12)</f>
        <v>2</v>
      </c>
    </row>
    <row r="13" spans="1:28" x14ac:dyDescent="0.35">
      <c r="A13" s="1">
        <v>1395518</v>
      </c>
      <c r="B13" s="21" t="s">
        <v>132</v>
      </c>
      <c r="C13" s="21" t="s">
        <v>133</v>
      </c>
      <c r="D13" s="21" t="s">
        <v>134</v>
      </c>
      <c r="E13" s="2">
        <v>46055</v>
      </c>
      <c r="F13" s="21" t="s">
        <v>153</v>
      </c>
      <c r="G13" s="21" t="s">
        <v>264</v>
      </c>
      <c r="H13" s="1">
        <v>257</v>
      </c>
      <c r="I13" s="21" t="s">
        <v>154</v>
      </c>
      <c r="J13" s="1">
        <v>51</v>
      </c>
      <c r="K13" s="21" t="s">
        <v>267</v>
      </c>
      <c r="M13" s="2">
        <v>46069</v>
      </c>
      <c r="N13" s="21" t="s">
        <v>24</v>
      </c>
      <c r="O13" s="21" t="s">
        <v>145</v>
      </c>
      <c r="P13" s="21" t="s">
        <v>266</v>
      </c>
      <c r="Q13" s="2"/>
      <c r="R13" s="21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>MONTH(M13)</f>
        <v>2</v>
      </c>
    </row>
    <row r="14" spans="1:28" x14ac:dyDescent="0.35">
      <c r="A14" s="1">
        <v>1407284</v>
      </c>
      <c r="B14" s="21" t="s">
        <v>132</v>
      </c>
      <c r="C14" s="21" t="s">
        <v>133</v>
      </c>
      <c r="D14" s="21" t="s">
        <v>134</v>
      </c>
      <c r="E14" s="2">
        <v>46059</v>
      </c>
      <c r="F14" s="21" t="s">
        <v>146</v>
      </c>
      <c r="G14" s="21" t="s">
        <v>272</v>
      </c>
      <c r="H14" s="1">
        <v>128</v>
      </c>
      <c r="I14" s="21" t="s">
        <v>273</v>
      </c>
      <c r="J14" s="1">
        <v>47</v>
      </c>
      <c r="K14" s="21" t="s">
        <v>274</v>
      </c>
      <c r="M14" s="2">
        <v>46069</v>
      </c>
      <c r="N14" s="21" t="s">
        <v>9</v>
      </c>
      <c r="O14" s="21" t="s">
        <v>137</v>
      </c>
      <c r="P14" s="21" t="s">
        <v>137</v>
      </c>
      <c r="Q14" s="2"/>
      <c r="R14" s="21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>MONTH(M14)</f>
        <v>2</v>
      </c>
    </row>
    <row r="15" spans="1:28" x14ac:dyDescent="0.35">
      <c r="A15" s="1">
        <v>1407284</v>
      </c>
      <c r="B15" s="21" t="s">
        <v>132</v>
      </c>
      <c r="C15" s="21" t="s">
        <v>133</v>
      </c>
      <c r="D15" s="21" t="s">
        <v>134</v>
      </c>
      <c r="E15" s="2">
        <v>46059</v>
      </c>
      <c r="F15" s="21" t="s">
        <v>146</v>
      </c>
      <c r="G15" s="21" t="s">
        <v>272</v>
      </c>
      <c r="H15" s="1">
        <v>128</v>
      </c>
      <c r="I15" s="21" t="s">
        <v>273</v>
      </c>
      <c r="J15" s="1">
        <v>45</v>
      </c>
      <c r="K15" s="21" t="s">
        <v>244</v>
      </c>
      <c r="M15" s="2">
        <v>46069</v>
      </c>
      <c r="N15" s="21" t="s">
        <v>9</v>
      </c>
      <c r="O15" s="21" t="s">
        <v>137</v>
      </c>
      <c r="P15" s="21" t="s">
        <v>137</v>
      </c>
      <c r="Q15" s="2"/>
      <c r="R15" s="21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>MONTH(M15)</f>
        <v>2</v>
      </c>
    </row>
    <row r="16" spans="1:28" x14ac:dyDescent="0.35">
      <c r="A16" s="1">
        <v>1453038</v>
      </c>
      <c r="B16" s="21" t="s">
        <v>132</v>
      </c>
      <c r="C16" s="21" t="s">
        <v>133</v>
      </c>
      <c r="D16" s="21" t="s">
        <v>134</v>
      </c>
      <c r="E16" s="2">
        <v>46060</v>
      </c>
      <c r="F16" s="21" t="s">
        <v>146</v>
      </c>
      <c r="G16" s="21" t="s">
        <v>283</v>
      </c>
      <c r="H16" s="1">
        <v>1038</v>
      </c>
      <c r="I16" s="21" t="s">
        <v>273</v>
      </c>
      <c r="J16" s="1">
        <v>119</v>
      </c>
      <c r="K16" s="21" t="s">
        <v>284</v>
      </c>
      <c r="M16" s="2">
        <v>46069</v>
      </c>
      <c r="N16" s="21" t="s">
        <v>9</v>
      </c>
      <c r="O16" s="21" t="s">
        <v>137</v>
      </c>
      <c r="P16" s="21" t="s">
        <v>137</v>
      </c>
      <c r="Q16" s="2"/>
      <c r="R16" s="21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>MONTH(M16)</f>
        <v>2</v>
      </c>
    </row>
    <row r="17" spans="1:28" x14ac:dyDescent="0.35">
      <c r="A17" s="1">
        <v>1159533</v>
      </c>
      <c r="B17" s="21" t="s">
        <v>132</v>
      </c>
      <c r="C17" s="21" t="s">
        <v>133</v>
      </c>
      <c r="D17" s="21" t="s">
        <v>134</v>
      </c>
      <c r="E17" s="2">
        <v>46060</v>
      </c>
      <c r="F17" s="21" t="s">
        <v>146</v>
      </c>
      <c r="G17" s="21" t="s">
        <v>286</v>
      </c>
      <c r="H17" s="1">
        <v>90</v>
      </c>
      <c r="I17" s="21" t="s">
        <v>287</v>
      </c>
      <c r="J17" s="1">
        <v>61</v>
      </c>
      <c r="K17" s="21" t="s">
        <v>288</v>
      </c>
      <c r="M17" s="2">
        <v>46069</v>
      </c>
      <c r="N17" s="21" t="s">
        <v>9</v>
      </c>
      <c r="O17" s="21" t="s">
        <v>136</v>
      </c>
      <c r="P17" s="21" t="s">
        <v>289</v>
      </c>
      <c r="Q17" s="2"/>
      <c r="R17" s="21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>MONTH(M17)</f>
        <v>2</v>
      </c>
    </row>
    <row r="18" spans="1:28" x14ac:dyDescent="0.35">
      <c r="A18" s="1">
        <v>1453038</v>
      </c>
      <c r="B18" s="21" t="s">
        <v>132</v>
      </c>
      <c r="C18" s="21" t="s">
        <v>133</v>
      </c>
      <c r="D18" s="21" t="s">
        <v>134</v>
      </c>
      <c r="E18" s="2">
        <v>46060</v>
      </c>
      <c r="F18" s="21" t="s">
        <v>146</v>
      </c>
      <c r="G18" s="21" t="s">
        <v>283</v>
      </c>
      <c r="H18" s="1">
        <v>1038</v>
      </c>
      <c r="I18" s="21" t="s">
        <v>273</v>
      </c>
      <c r="J18" s="1">
        <v>121</v>
      </c>
      <c r="K18" s="21" t="s">
        <v>290</v>
      </c>
      <c r="M18" s="2">
        <v>46069</v>
      </c>
      <c r="N18" s="21" t="s">
        <v>9</v>
      </c>
      <c r="O18" s="21" t="s">
        <v>137</v>
      </c>
      <c r="P18" s="21" t="s">
        <v>137</v>
      </c>
      <c r="Q18" s="2"/>
      <c r="R18" s="21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>MONTH(M18)</f>
        <v>2</v>
      </c>
    </row>
    <row r="19" spans="1:28" x14ac:dyDescent="0.35">
      <c r="A19" s="1">
        <v>1485904</v>
      </c>
      <c r="B19" s="21" t="s">
        <v>132</v>
      </c>
      <c r="C19" s="21" t="s">
        <v>133</v>
      </c>
      <c r="D19" s="21" t="s">
        <v>134</v>
      </c>
      <c r="E19" s="2">
        <v>46059</v>
      </c>
      <c r="F19" s="21" t="s">
        <v>155</v>
      </c>
      <c r="G19" s="21" t="s">
        <v>159</v>
      </c>
      <c r="H19" s="1">
        <v>211</v>
      </c>
      <c r="I19" s="21" t="s">
        <v>277</v>
      </c>
      <c r="J19" s="1">
        <v>114</v>
      </c>
      <c r="K19" s="21" t="s">
        <v>142</v>
      </c>
      <c r="M19" s="2">
        <v>46076</v>
      </c>
      <c r="N19" s="21" t="s">
        <v>67</v>
      </c>
      <c r="O19" s="21" t="s">
        <v>137</v>
      </c>
      <c r="P19" s="21" t="s">
        <v>137</v>
      </c>
      <c r="Q19" s="2"/>
      <c r="R19" s="21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>MONTH(M19)</f>
        <v>2</v>
      </c>
    </row>
    <row r="20" spans="1:28" x14ac:dyDescent="0.35">
      <c r="A20" s="1">
        <v>1422308</v>
      </c>
      <c r="B20" s="21" t="s">
        <v>132</v>
      </c>
      <c r="C20" s="21" t="s">
        <v>133</v>
      </c>
      <c r="D20" s="21" t="s">
        <v>134</v>
      </c>
      <c r="E20" s="2">
        <v>46064</v>
      </c>
      <c r="F20" s="21" t="s">
        <v>155</v>
      </c>
      <c r="G20" s="21" t="s">
        <v>296</v>
      </c>
      <c r="H20" s="1">
        <v>1074</v>
      </c>
      <c r="I20" s="21"/>
      <c r="K20" s="21"/>
      <c r="M20" s="2">
        <v>46076</v>
      </c>
      <c r="N20" s="21" t="s">
        <v>67</v>
      </c>
      <c r="O20" s="21" t="s">
        <v>137</v>
      </c>
      <c r="P20" s="21" t="s">
        <v>137</v>
      </c>
      <c r="Q20" s="2"/>
      <c r="R20" s="21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>MONTH(M20)</f>
        <v>2</v>
      </c>
    </row>
    <row r="21" spans="1:28" x14ac:dyDescent="0.35">
      <c r="A21" s="1">
        <v>1218659</v>
      </c>
      <c r="B21" s="21" t="s">
        <v>132</v>
      </c>
      <c r="C21" s="21" t="s">
        <v>133</v>
      </c>
      <c r="D21" s="21" t="s">
        <v>134</v>
      </c>
      <c r="E21" s="2">
        <v>46064</v>
      </c>
      <c r="F21" s="21" t="s">
        <v>155</v>
      </c>
      <c r="G21" s="21" t="s">
        <v>297</v>
      </c>
      <c r="H21" s="1">
        <v>201</v>
      </c>
      <c r="I21" s="21"/>
      <c r="K21" s="21"/>
      <c r="M21" s="2">
        <v>46076</v>
      </c>
      <c r="N21" s="21" t="s">
        <v>67</v>
      </c>
      <c r="O21" s="21" t="s">
        <v>136</v>
      </c>
      <c r="P21" s="21" t="s">
        <v>137</v>
      </c>
      <c r="Q21" s="2"/>
      <c r="R21" s="21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>MONTH(M21)</f>
        <v>2</v>
      </c>
    </row>
    <row r="22" spans="1:28" x14ac:dyDescent="0.35">
      <c r="A22" s="1">
        <v>1407183</v>
      </c>
      <c r="B22" s="21" t="s">
        <v>132</v>
      </c>
      <c r="C22" s="21" t="s">
        <v>133</v>
      </c>
      <c r="D22" s="21" t="s">
        <v>134</v>
      </c>
      <c r="E22" s="2">
        <v>46063</v>
      </c>
      <c r="F22" s="21" t="s">
        <v>139</v>
      </c>
      <c r="G22" s="21" t="s">
        <v>292</v>
      </c>
      <c r="H22" s="1">
        <v>262</v>
      </c>
      <c r="I22" s="21" t="s">
        <v>185</v>
      </c>
      <c r="J22" s="1">
        <v>27</v>
      </c>
      <c r="K22" s="21" t="s">
        <v>293</v>
      </c>
      <c r="M22" s="2">
        <v>46090</v>
      </c>
      <c r="N22" s="21" t="s">
        <v>67</v>
      </c>
      <c r="O22" s="21" t="s">
        <v>137</v>
      </c>
      <c r="P22" s="21" t="s">
        <v>294</v>
      </c>
      <c r="Q22" s="2">
        <v>46091</v>
      </c>
      <c r="R22" s="2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>MONTH(M22)</f>
        <v>3</v>
      </c>
    </row>
    <row r="23" spans="1:28" x14ac:dyDescent="0.35">
      <c r="A23" s="1">
        <v>1407183</v>
      </c>
      <c r="B23" s="21" t="s">
        <v>132</v>
      </c>
      <c r="C23" s="21" t="s">
        <v>133</v>
      </c>
      <c r="D23" s="21" t="s">
        <v>134</v>
      </c>
      <c r="E23" s="2">
        <v>46064</v>
      </c>
      <c r="F23" s="21" t="s">
        <v>165</v>
      </c>
      <c r="G23" s="21" t="s">
        <v>292</v>
      </c>
      <c r="H23" s="1">
        <v>262</v>
      </c>
      <c r="I23" s="21" t="s">
        <v>185</v>
      </c>
      <c r="J23" s="1">
        <v>108</v>
      </c>
      <c r="K23" s="21" t="s">
        <v>244</v>
      </c>
      <c r="M23" s="2">
        <v>46090</v>
      </c>
      <c r="N23" s="21" t="s">
        <v>67</v>
      </c>
      <c r="O23" s="21" t="s">
        <v>137</v>
      </c>
      <c r="P23" s="21" t="s">
        <v>137</v>
      </c>
      <c r="Q23" s="2"/>
      <c r="R23" s="21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>MONTH(M23)</f>
        <v>3</v>
      </c>
    </row>
    <row r="24" spans="1:28" x14ac:dyDescent="0.35">
      <c r="A24" s="1">
        <v>1106195</v>
      </c>
      <c r="B24" s="21" t="s">
        <v>132</v>
      </c>
      <c r="C24" s="21" t="s">
        <v>133</v>
      </c>
      <c r="D24" s="21" t="s">
        <v>134</v>
      </c>
      <c r="E24" s="2">
        <v>46059</v>
      </c>
      <c r="F24" s="21" t="s">
        <v>139</v>
      </c>
      <c r="G24" s="21" t="s">
        <v>271</v>
      </c>
      <c r="H24" s="1">
        <v>895</v>
      </c>
      <c r="I24" s="21" t="s">
        <v>158</v>
      </c>
      <c r="J24" s="1">
        <v>97</v>
      </c>
      <c r="K24" s="21" t="s">
        <v>205</v>
      </c>
      <c r="M24" s="2">
        <v>46091</v>
      </c>
      <c r="N24" s="21" t="s">
        <v>67</v>
      </c>
      <c r="O24" s="21" t="s">
        <v>136</v>
      </c>
      <c r="P24" s="21" t="s">
        <v>137</v>
      </c>
      <c r="Q24" s="2"/>
      <c r="R24" s="21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>MONTH(M24)</f>
        <v>3</v>
      </c>
    </row>
    <row r="25" spans="1:28" x14ac:dyDescent="0.35">
      <c r="A25" s="1">
        <v>1497136</v>
      </c>
      <c r="B25" s="21" t="s">
        <v>132</v>
      </c>
      <c r="C25" s="21" t="s">
        <v>138</v>
      </c>
      <c r="D25" s="21" t="s">
        <v>134</v>
      </c>
      <c r="E25" s="2">
        <v>46059</v>
      </c>
      <c r="F25" s="21" t="s">
        <v>139</v>
      </c>
      <c r="G25" s="21" t="s">
        <v>271</v>
      </c>
      <c r="H25" s="1">
        <v>1633</v>
      </c>
      <c r="I25" s="21" t="s">
        <v>143</v>
      </c>
      <c r="J25" s="1">
        <v>53</v>
      </c>
      <c r="K25" s="21" t="s">
        <v>278</v>
      </c>
      <c r="M25" s="2">
        <v>46091</v>
      </c>
      <c r="N25" s="21" t="s">
        <v>67</v>
      </c>
      <c r="O25" s="21" t="s">
        <v>279</v>
      </c>
      <c r="P25" s="21" t="s">
        <v>137</v>
      </c>
      <c r="Q25" s="2"/>
      <c r="R25" s="21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>MONTH(M25)</f>
        <v>3</v>
      </c>
    </row>
    <row r="26" spans="1:28" x14ac:dyDescent="0.35">
      <c r="A26" s="1">
        <v>37004</v>
      </c>
      <c r="B26" s="21" t="s">
        <v>132</v>
      </c>
      <c r="C26" s="21" t="s">
        <v>138</v>
      </c>
      <c r="D26" s="21" t="s">
        <v>134</v>
      </c>
      <c r="E26" s="2">
        <v>46055</v>
      </c>
      <c r="F26" s="21" t="s">
        <v>139</v>
      </c>
      <c r="G26" s="21" t="s">
        <v>174</v>
      </c>
      <c r="H26" s="1">
        <v>725</v>
      </c>
      <c r="I26" s="21" t="s">
        <v>262</v>
      </c>
      <c r="J26" s="1">
        <v>68</v>
      </c>
      <c r="K26" s="21" t="s">
        <v>263</v>
      </c>
      <c r="M26" s="2">
        <v>46097</v>
      </c>
      <c r="N26" s="21" t="s">
        <v>67</v>
      </c>
      <c r="O26" s="21" t="s">
        <v>136</v>
      </c>
      <c r="P26" s="21" t="s">
        <v>137</v>
      </c>
      <c r="Q26" s="2"/>
      <c r="R26" s="21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>MONTH(M26)</f>
        <v>3</v>
      </c>
    </row>
    <row r="27" spans="1:28" x14ac:dyDescent="0.35">
      <c r="A27" s="1">
        <v>65280</v>
      </c>
      <c r="B27" s="21" t="s">
        <v>132</v>
      </c>
      <c r="C27" s="21" t="s">
        <v>138</v>
      </c>
      <c r="D27" s="21" t="s">
        <v>134</v>
      </c>
      <c r="E27" s="2">
        <v>46066</v>
      </c>
      <c r="F27" s="21" t="s">
        <v>165</v>
      </c>
      <c r="G27" s="21" t="s">
        <v>175</v>
      </c>
      <c r="H27" s="1">
        <v>1972</v>
      </c>
      <c r="I27" s="21"/>
      <c r="K27" s="21"/>
      <c r="M27" s="2">
        <v>46097</v>
      </c>
      <c r="N27" s="21" t="s">
        <v>67</v>
      </c>
      <c r="O27" s="21" t="s">
        <v>279</v>
      </c>
      <c r="P27" s="21" t="s">
        <v>137</v>
      </c>
      <c r="Q27" s="2"/>
      <c r="R27" s="21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>MONTH(M27)</f>
        <v>3</v>
      </c>
    </row>
    <row r="28" spans="1:28" x14ac:dyDescent="0.35">
      <c r="A28" s="1">
        <v>1423862</v>
      </c>
      <c r="B28" s="21" t="s">
        <v>132</v>
      </c>
      <c r="C28" s="21" t="s">
        <v>138</v>
      </c>
      <c r="D28" s="21" t="s">
        <v>134</v>
      </c>
      <c r="E28" s="2">
        <v>46027</v>
      </c>
      <c r="F28" s="21" t="s">
        <v>146</v>
      </c>
      <c r="G28" s="21" t="s">
        <v>230</v>
      </c>
      <c r="H28" s="1">
        <v>933</v>
      </c>
      <c r="I28" s="21" t="s">
        <v>231</v>
      </c>
      <c r="J28" s="1">
        <v>35</v>
      </c>
      <c r="K28" s="21" t="s">
        <v>191</v>
      </c>
      <c r="M28" s="2">
        <v>46098</v>
      </c>
      <c r="N28" s="21" t="s">
        <v>67</v>
      </c>
      <c r="O28" s="21" t="s">
        <v>137</v>
      </c>
      <c r="P28" s="21" t="s">
        <v>137</v>
      </c>
      <c r="Q28" s="2"/>
      <c r="R28" s="21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>MONTH(M28)</f>
        <v>3</v>
      </c>
    </row>
    <row r="29" spans="1:28" x14ac:dyDescent="0.35">
      <c r="A29" s="1">
        <v>1497383</v>
      </c>
      <c r="B29" s="21" t="s">
        <v>132</v>
      </c>
      <c r="C29" s="21" t="s">
        <v>138</v>
      </c>
      <c r="D29" s="21" t="s">
        <v>134</v>
      </c>
      <c r="E29" s="2">
        <v>46055</v>
      </c>
      <c r="F29" s="21" t="s">
        <v>146</v>
      </c>
      <c r="G29" s="21" t="s">
        <v>238</v>
      </c>
      <c r="H29" s="1">
        <v>947</v>
      </c>
      <c r="I29" s="21" t="s">
        <v>231</v>
      </c>
      <c r="J29" s="1">
        <v>35</v>
      </c>
      <c r="K29" s="21" t="s">
        <v>205</v>
      </c>
      <c r="M29" s="2">
        <v>46098</v>
      </c>
      <c r="N29" s="21" t="s">
        <v>67</v>
      </c>
      <c r="O29" s="21" t="s">
        <v>137</v>
      </c>
      <c r="P29" s="21" t="s">
        <v>137</v>
      </c>
      <c r="Q29" s="2"/>
      <c r="R29" s="21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>MONTH(M29)</f>
        <v>3</v>
      </c>
    </row>
    <row r="30" spans="1:28" x14ac:dyDescent="0.35">
      <c r="A30" s="1">
        <v>1432640</v>
      </c>
      <c r="B30" s="21" t="s">
        <v>132</v>
      </c>
      <c r="C30" s="21" t="s">
        <v>133</v>
      </c>
      <c r="D30" s="21" t="s">
        <v>134</v>
      </c>
      <c r="E30" s="2">
        <v>46055</v>
      </c>
      <c r="F30" s="21" t="s">
        <v>146</v>
      </c>
      <c r="G30" s="21" t="s">
        <v>230</v>
      </c>
      <c r="H30" s="1">
        <v>564</v>
      </c>
      <c r="I30" s="21" t="s">
        <v>228</v>
      </c>
      <c r="J30" s="1">
        <v>137</v>
      </c>
      <c r="K30" s="21" t="s">
        <v>251</v>
      </c>
      <c r="M30" s="2">
        <v>46098</v>
      </c>
      <c r="N30" s="21" t="s">
        <v>67</v>
      </c>
      <c r="O30" s="21" t="s">
        <v>137</v>
      </c>
      <c r="P30" s="21" t="s">
        <v>137</v>
      </c>
      <c r="Q30" s="2"/>
      <c r="R30" s="21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>MONTH(M30)</f>
        <v>3</v>
      </c>
    </row>
    <row r="31" spans="1:28" x14ac:dyDescent="0.35">
      <c r="A31" s="1">
        <v>1470141</v>
      </c>
      <c r="B31" s="21" t="s">
        <v>132</v>
      </c>
      <c r="C31" s="21" t="s">
        <v>133</v>
      </c>
      <c r="D31" s="21" t="s">
        <v>134</v>
      </c>
      <c r="E31" s="2">
        <v>46055</v>
      </c>
      <c r="F31" s="21" t="s">
        <v>139</v>
      </c>
      <c r="G31" s="21" t="s">
        <v>195</v>
      </c>
      <c r="H31" s="1">
        <v>1351</v>
      </c>
      <c r="I31" s="21" t="s">
        <v>226</v>
      </c>
      <c r="J31" s="1">
        <v>140</v>
      </c>
      <c r="K31" s="21" t="s">
        <v>218</v>
      </c>
      <c r="M31" s="2">
        <v>46099</v>
      </c>
      <c r="N31" s="21" t="s">
        <v>67</v>
      </c>
      <c r="O31" s="21" t="s">
        <v>137</v>
      </c>
      <c r="P31" s="21" t="s">
        <v>137</v>
      </c>
      <c r="Q31" s="2"/>
      <c r="R31" s="21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>MONTH(M31)</f>
        <v>3</v>
      </c>
    </row>
    <row r="32" spans="1:28" x14ac:dyDescent="0.35">
      <c r="A32" s="1">
        <v>1322985</v>
      </c>
      <c r="B32" s="21" t="s">
        <v>132</v>
      </c>
      <c r="C32" s="21" t="s">
        <v>133</v>
      </c>
      <c r="D32" s="21" t="s">
        <v>134</v>
      </c>
      <c r="E32" s="2">
        <v>46041</v>
      </c>
      <c r="F32" s="21" t="s">
        <v>135</v>
      </c>
      <c r="G32" s="21" t="s">
        <v>233</v>
      </c>
      <c r="H32" s="1">
        <v>66</v>
      </c>
      <c r="I32" s="21" t="s">
        <v>212</v>
      </c>
      <c r="J32" s="1">
        <v>113</v>
      </c>
      <c r="K32" s="21" t="s">
        <v>169</v>
      </c>
      <c r="M32" s="2">
        <v>46100</v>
      </c>
      <c r="N32" s="21" t="s">
        <v>67</v>
      </c>
      <c r="O32" s="21" t="s">
        <v>136</v>
      </c>
      <c r="P32" s="21" t="s">
        <v>137</v>
      </c>
      <c r="Q32" s="2"/>
      <c r="R32" s="21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>MONTH(M32)</f>
        <v>3</v>
      </c>
    </row>
    <row r="33" spans="1:28" x14ac:dyDescent="0.35">
      <c r="A33" s="1">
        <v>1497834</v>
      </c>
      <c r="B33" s="21" t="s">
        <v>132</v>
      </c>
      <c r="C33" s="21" t="s">
        <v>133</v>
      </c>
      <c r="D33" s="21" t="s">
        <v>134</v>
      </c>
      <c r="E33" s="2">
        <v>46059</v>
      </c>
      <c r="F33" s="21" t="s">
        <v>146</v>
      </c>
      <c r="G33" s="21" t="s">
        <v>275</v>
      </c>
      <c r="H33" s="1">
        <v>220</v>
      </c>
      <c r="I33" s="21" t="s">
        <v>228</v>
      </c>
      <c r="J33" s="1">
        <v>87</v>
      </c>
      <c r="K33" s="21" t="s">
        <v>276</v>
      </c>
      <c r="M33" s="2">
        <v>46101</v>
      </c>
      <c r="N33" s="21" t="s">
        <v>67</v>
      </c>
      <c r="O33" s="21" t="s">
        <v>136</v>
      </c>
      <c r="P33" s="21" t="s">
        <v>137</v>
      </c>
      <c r="Q33" s="2"/>
      <c r="R33" s="21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>MONTH(M33)</f>
        <v>3</v>
      </c>
    </row>
    <row r="34" spans="1:28" x14ac:dyDescent="0.35">
      <c r="A34" s="1">
        <v>1497834</v>
      </c>
      <c r="B34" s="21" t="s">
        <v>132</v>
      </c>
      <c r="C34" s="21" t="s">
        <v>133</v>
      </c>
      <c r="D34" s="21" t="s">
        <v>134</v>
      </c>
      <c r="E34" s="2">
        <v>46059</v>
      </c>
      <c r="F34" s="21" t="s">
        <v>146</v>
      </c>
      <c r="G34" s="21" t="s">
        <v>275</v>
      </c>
      <c r="H34" s="1">
        <v>220</v>
      </c>
      <c r="I34" s="21" t="s">
        <v>228</v>
      </c>
      <c r="J34" s="1">
        <v>83</v>
      </c>
      <c r="K34" s="21" t="s">
        <v>281</v>
      </c>
      <c r="M34" s="2">
        <v>46101</v>
      </c>
      <c r="N34" s="21" t="s">
        <v>67</v>
      </c>
      <c r="O34" s="21" t="s">
        <v>136</v>
      </c>
      <c r="P34" s="21" t="s">
        <v>137</v>
      </c>
      <c r="Q34" s="2"/>
      <c r="R34" s="21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>MONTH(M34)</f>
        <v>3</v>
      </c>
    </row>
    <row r="35" spans="1:28" x14ac:dyDescent="0.35">
      <c r="A35" s="1">
        <v>1453236</v>
      </c>
      <c r="B35" s="21" t="s">
        <v>132</v>
      </c>
      <c r="C35" s="21" t="s">
        <v>138</v>
      </c>
      <c r="D35" s="21" t="s">
        <v>134</v>
      </c>
      <c r="E35" s="2">
        <v>46091</v>
      </c>
      <c r="F35" s="21" t="s">
        <v>135</v>
      </c>
      <c r="G35" s="21" t="s">
        <v>211</v>
      </c>
      <c r="H35" s="1">
        <v>105</v>
      </c>
      <c r="I35" s="21" t="s">
        <v>303</v>
      </c>
      <c r="J35" s="1">
        <v>109</v>
      </c>
      <c r="K35" s="21" t="s">
        <v>160</v>
      </c>
      <c r="L35" s="1" t="s">
        <v>304</v>
      </c>
      <c r="M35" s="2">
        <v>46101</v>
      </c>
      <c r="N35" s="21" t="s">
        <v>67</v>
      </c>
      <c r="O35" s="21" t="s">
        <v>136</v>
      </c>
      <c r="P35" s="21" t="s">
        <v>137</v>
      </c>
      <c r="Q35" s="2"/>
      <c r="R35" s="21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>MONTH(M35)</f>
        <v>3</v>
      </c>
    </row>
    <row r="36" spans="1:28" x14ac:dyDescent="0.35">
      <c r="A36" s="1">
        <v>1453236</v>
      </c>
      <c r="B36" s="21" t="s">
        <v>132</v>
      </c>
      <c r="C36" s="21" t="s">
        <v>138</v>
      </c>
      <c r="D36" s="21" t="s">
        <v>134</v>
      </c>
      <c r="E36" s="2">
        <v>46091</v>
      </c>
      <c r="F36" s="21" t="s">
        <v>135</v>
      </c>
      <c r="G36" s="21" t="s">
        <v>211</v>
      </c>
      <c r="H36" s="1">
        <v>105</v>
      </c>
      <c r="I36" s="21" t="s">
        <v>303</v>
      </c>
      <c r="J36" s="1">
        <v>110</v>
      </c>
      <c r="K36" s="21" t="s">
        <v>160</v>
      </c>
      <c r="L36" s="1" t="s">
        <v>304</v>
      </c>
      <c r="M36" s="2">
        <v>46101</v>
      </c>
      <c r="N36" s="21" t="s">
        <v>67</v>
      </c>
      <c r="O36" s="21" t="s">
        <v>136</v>
      </c>
      <c r="P36" s="21" t="s">
        <v>137</v>
      </c>
      <c r="Q36" s="2"/>
      <c r="R36" s="21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>MONTH(M36)</f>
        <v>3</v>
      </c>
    </row>
    <row r="37" spans="1:28" x14ac:dyDescent="0.35">
      <c r="A37" s="1">
        <v>1453236</v>
      </c>
      <c r="B37" s="21" t="s">
        <v>132</v>
      </c>
      <c r="C37" s="21" t="s">
        <v>138</v>
      </c>
      <c r="D37" s="21" t="s">
        <v>134</v>
      </c>
      <c r="E37" s="2">
        <v>46091</v>
      </c>
      <c r="F37" s="21" t="s">
        <v>135</v>
      </c>
      <c r="G37" s="21" t="s">
        <v>211</v>
      </c>
      <c r="H37" s="1">
        <v>105</v>
      </c>
      <c r="I37" s="21" t="s">
        <v>303</v>
      </c>
      <c r="J37" s="1">
        <v>111</v>
      </c>
      <c r="K37" s="21" t="s">
        <v>160</v>
      </c>
      <c r="L37" s="1" t="s">
        <v>304</v>
      </c>
      <c r="M37" s="2">
        <v>46101</v>
      </c>
      <c r="N37" s="21" t="s">
        <v>67</v>
      </c>
      <c r="O37" s="21" t="s">
        <v>136</v>
      </c>
      <c r="P37" s="21" t="s">
        <v>137</v>
      </c>
      <c r="Q37" s="2"/>
      <c r="R37" s="21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>MONTH(M37)</f>
        <v>3</v>
      </c>
    </row>
    <row r="38" spans="1:28" x14ac:dyDescent="0.35">
      <c r="A38" s="1">
        <v>1463281</v>
      </c>
      <c r="B38" s="21" t="s">
        <v>132</v>
      </c>
      <c r="C38" s="21" t="s">
        <v>138</v>
      </c>
      <c r="D38" s="21" t="s">
        <v>134</v>
      </c>
      <c r="E38" s="2">
        <v>46092</v>
      </c>
      <c r="F38" s="21" t="s">
        <v>146</v>
      </c>
      <c r="G38" s="21" t="s">
        <v>306</v>
      </c>
      <c r="H38" s="1">
        <v>648</v>
      </c>
      <c r="I38" s="21" t="s">
        <v>231</v>
      </c>
      <c r="J38" s="1">
        <v>77</v>
      </c>
      <c r="K38" s="21" t="s">
        <v>163</v>
      </c>
      <c r="L38" s="1" t="s">
        <v>304</v>
      </c>
      <c r="M38" s="2">
        <v>46101</v>
      </c>
      <c r="N38" s="21" t="s">
        <v>67</v>
      </c>
      <c r="O38" s="21" t="s">
        <v>137</v>
      </c>
      <c r="P38" s="21" t="s">
        <v>137</v>
      </c>
      <c r="Q38" s="2"/>
      <c r="R38" s="21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>MONTH(M38)</f>
        <v>3</v>
      </c>
    </row>
    <row r="39" spans="1:28" x14ac:dyDescent="0.35">
      <c r="A39" s="1">
        <v>1463366</v>
      </c>
      <c r="B39" s="21" t="s">
        <v>132</v>
      </c>
      <c r="C39" s="21" t="s">
        <v>138</v>
      </c>
      <c r="D39" s="21" t="s">
        <v>134</v>
      </c>
      <c r="E39" s="2">
        <v>46092</v>
      </c>
      <c r="F39" s="21" t="s">
        <v>146</v>
      </c>
      <c r="G39" s="21" t="s">
        <v>306</v>
      </c>
      <c r="H39" s="1">
        <v>1202</v>
      </c>
      <c r="I39" s="21" t="s">
        <v>231</v>
      </c>
      <c r="J39" s="1">
        <v>74</v>
      </c>
      <c r="K39" s="21" t="s">
        <v>307</v>
      </c>
      <c r="L39" s="1" t="s">
        <v>308</v>
      </c>
      <c r="M39" s="2">
        <v>46101</v>
      </c>
      <c r="N39" s="21" t="s">
        <v>67</v>
      </c>
      <c r="O39" s="21" t="s">
        <v>137</v>
      </c>
      <c r="P39" s="21" t="s">
        <v>137</v>
      </c>
      <c r="Q39" s="2"/>
      <c r="R39" s="21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>MONTH(M39)</f>
        <v>3</v>
      </c>
    </row>
    <row r="40" spans="1:28" x14ac:dyDescent="0.35">
      <c r="A40" s="1">
        <v>1463402</v>
      </c>
      <c r="B40" s="21" t="s">
        <v>132</v>
      </c>
      <c r="C40" s="21" t="s">
        <v>138</v>
      </c>
      <c r="D40" s="21" t="s">
        <v>134</v>
      </c>
      <c r="E40" s="2">
        <v>46093</v>
      </c>
      <c r="F40" s="21" t="s">
        <v>146</v>
      </c>
      <c r="G40" s="21" t="s">
        <v>306</v>
      </c>
      <c r="H40" s="1">
        <v>539</v>
      </c>
      <c r="I40" s="21" t="s">
        <v>228</v>
      </c>
      <c r="J40" s="1">
        <v>133</v>
      </c>
      <c r="K40" s="21" t="s">
        <v>215</v>
      </c>
      <c r="L40" s="1" t="s">
        <v>309</v>
      </c>
      <c r="M40" s="2">
        <v>46101</v>
      </c>
      <c r="N40" s="21" t="s">
        <v>67</v>
      </c>
      <c r="O40" s="21" t="s">
        <v>310</v>
      </c>
      <c r="P40" s="21" t="s">
        <v>310</v>
      </c>
      <c r="Q40" s="2"/>
      <c r="R40" s="21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>MONTH(M40)</f>
        <v>3</v>
      </c>
    </row>
    <row r="41" spans="1:28" x14ac:dyDescent="0.35">
      <c r="A41" s="1">
        <v>1407194</v>
      </c>
      <c r="B41" s="21" t="s">
        <v>132</v>
      </c>
      <c r="C41" s="21" t="s">
        <v>138</v>
      </c>
      <c r="D41" s="21" t="s">
        <v>134</v>
      </c>
      <c r="E41" s="2">
        <v>46093</v>
      </c>
      <c r="F41" s="21" t="s">
        <v>146</v>
      </c>
      <c r="G41" s="21" t="s">
        <v>306</v>
      </c>
      <c r="H41" s="1">
        <v>448</v>
      </c>
      <c r="I41" s="21" t="s">
        <v>231</v>
      </c>
      <c r="J41" s="1">
        <v>89</v>
      </c>
      <c r="K41" s="21" t="s">
        <v>312</v>
      </c>
      <c r="L41" s="1" t="s">
        <v>304</v>
      </c>
      <c r="M41" s="2">
        <v>46101</v>
      </c>
      <c r="N41" s="21" t="s">
        <v>67</v>
      </c>
      <c r="O41" s="21" t="s">
        <v>137</v>
      </c>
      <c r="P41" s="21" t="s">
        <v>137</v>
      </c>
      <c r="Q41" s="2"/>
      <c r="R41" s="21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>MONTH(M41)</f>
        <v>3</v>
      </c>
    </row>
    <row r="42" spans="1:28" x14ac:dyDescent="0.35">
      <c r="A42" s="1">
        <v>1494969</v>
      </c>
      <c r="B42" s="21" t="s">
        <v>132</v>
      </c>
      <c r="C42" s="21" t="s">
        <v>138</v>
      </c>
      <c r="D42" s="21" t="s">
        <v>134</v>
      </c>
      <c r="E42" s="2">
        <v>46094</v>
      </c>
      <c r="F42" s="21" t="s">
        <v>135</v>
      </c>
      <c r="G42" s="21" t="s">
        <v>313</v>
      </c>
      <c r="H42" s="1">
        <v>185</v>
      </c>
      <c r="I42" s="21" t="s">
        <v>303</v>
      </c>
      <c r="J42" s="1">
        <v>88</v>
      </c>
      <c r="K42" s="21" t="s">
        <v>314</v>
      </c>
      <c r="L42" s="1" t="s">
        <v>315</v>
      </c>
      <c r="M42" s="2">
        <v>46101</v>
      </c>
      <c r="N42" s="21" t="s">
        <v>67</v>
      </c>
      <c r="O42" s="21" t="s">
        <v>137</v>
      </c>
      <c r="P42" s="21" t="s">
        <v>137</v>
      </c>
      <c r="Q42" s="2"/>
      <c r="R42" s="21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>MONTH(M42)</f>
        <v>3</v>
      </c>
    </row>
    <row r="43" spans="1:28" x14ac:dyDescent="0.35">
      <c r="A43" s="1">
        <v>1494969</v>
      </c>
      <c r="B43" s="21" t="s">
        <v>132</v>
      </c>
      <c r="C43" s="21" t="s">
        <v>138</v>
      </c>
      <c r="D43" s="21" t="s">
        <v>134</v>
      </c>
      <c r="E43" s="2">
        <v>46094</v>
      </c>
      <c r="F43" s="21" t="s">
        <v>135</v>
      </c>
      <c r="G43" s="21" t="s">
        <v>313</v>
      </c>
      <c r="H43" s="1">
        <v>185</v>
      </c>
      <c r="I43" s="21" t="s">
        <v>303</v>
      </c>
      <c r="J43" s="1">
        <v>64</v>
      </c>
      <c r="K43" s="21" t="s">
        <v>160</v>
      </c>
      <c r="L43" s="1" t="s">
        <v>319</v>
      </c>
      <c r="M43" s="2">
        <v>46101</v>
      </c>
      <c r="N43" s="21" t="s">
        <v>67</v>
      </c>
      <c r="O43" s="21" t="s">
        <v>137</v>
      </c>
      <c r="P43" s="21" t="s">
        <v>137</v>
      </c>
      <c r="Q43" s="2"/>
      <c r="R43" s="21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>MONTH(M43)</f>
        <v>3</v>
      </c>
    </row>
    <row r="44" spans="1:28" x14ac:dyDescent="0.35">
      <c r="A44" s="1">
        <v>1441356</v>
      </c>
      <c r="B44" s="21" t="s">
        <v>132</v>
      </c>
      <c r="C44" s="21" t="s">
        <v>138</v>
      </c>
      <c r="D44" s="21" t="s">
        <v>134</v>
      </c>
      <c r="E44" s="2">
        <v>46055</v>
      </c>
      <c r="F44" s="21" t="s">
        <v>146</v>
      </c>
      <c r="G44" s="21" t="s">
        <v>239</v>
      </c>
      <c r="H44" s="1">
        <v>1021</v>
      </c>
      <c r="I44" s="21" t="s">
        <v>240</v>
      </c>
      <c r="J44" s="1">
        <v>13</v>
      </c>
      <c r="K44" s="21" t="s">
        <v>206</v>
      </c>
      <c r="M44" s="2">
        <v>46104</v>
      </c>
      <c r="N44" s="21" t="s">
        <v>67</v>
      </c>
      <c r="O44" s="21" t="s">
        <v>145</v>
      </c>
      <c r="P44" s="21" t="s">
        <v>241</v>
      </c>
      <c r="Q44" s="2">
        <v>46105</v>
      </c>
      <c r="R44" s="2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>MONTH(M44)</f>
        <v>3</v>
      </c>
    </row>
    <row r="45" spans="1:28" x14ac:dyDescent="0.35">
      <c r="A45" s="1">
        <v>1425215</v>
      </c>
      <c r="B45" s="21" t="s">
        <v>132</v>
      </c>
      <c r="C45" s="21" t="s">
        <v>133</v>
      </c>
      <c r="D45" s="21" t="s">
        <v>134</v>
      </c>
      <c r="E45" s="2">
        <v>46060</v>
      </c>
      <c r="F45" s="21" t="s">
        <v>146</v>
      </c>
      <c r="G45" s="21" t="s">
        <v>232</v>
      </c>
      <c r="H45" s="1">
        <v>273</v>
      </c>
      <c r="I45" s="21" t="s">
        <v>228</v>
      </c>
      <c r="J45" s="1">
        <v>143</v>
      </c>
      <c r="K45" s="21" t="s">
        <v>290</v>
      </c>
      <c r="M45" s="2">
        <v>46104</v>
      </c>
      <c r="N45" s="21" t="s">
        <v>67</v>
      </c>
      <c r="O45" s="21" t="s">
        <v>136</v>
      </c>
      <c r="P45" s="21" t="s">
        <v>137</v>
      </c>
      <c r="Q45" s="2"/>
      <c r="R45" s="21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>MONTH(M45)</f>
        <v>3</v>
      </c>
    </row>
    <row r="46" spans="1:28" x14ac:dyDescent="0.35">
      <c r="A46" s="1">
        <v>1395515</v>
      </c>
      <c r="B46" s="21" t="s">
        <v>132</v>
      </c>
      <c r="C46" s="21" t="s">
        <v>138</v>
      </c>
      <c r="D46" s="21" t="s">
        <v>134</v>
      </c>
      <c r="E46" s="2">
        <v>46066</v>
      </c>
      <c r="F46" s="21" t="s">
        <v>146</v>
      </c>
      <c r="G46" s="21" t="s">
        <v>298</v>
      </c>
      <c r="H46" s="1">
        <v>74</v>
      </c>
      <c r="I46" s="21"/>
      <c r="K46" s="21"/>
      <c r="M46" s="2">
        <v>46104</v>
      </c>
      <c r="N46" s="21" t="s">
        <v>67</v>
      </c>
      <c r="O46" s="21" t="s">
        <v>137</v>
      </c>
      <c r="P46" s="21" t="s">
        <v>137</v>
      </c>
      <c r="Q46" s="2"/>
      <c r="R46" s="21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>MONTH(M46)</f>
        <v>3</v>
      </c>
    </row>
    <row r="47" spans="1:28" x14ac:dyDescent="0.35">
      <c r="A47" s="1">
        <v>1489201</v>
      </c>
      <c r="B47" s="21" t="s">
        <v>132</v>
      </c>
      <c r="C47" s="21" t="s">
        <v>138</v>
      </c>
      <c r="D47" s="21" t="s">
        <v>134</v>
      </c>
      <c r="E47" s="2">
        <v>46092</v>
      </c>
      <c r="F47" s="21" t="s">
        <v>146</v>
      </c>
      <c r="G47" s="21" t="s">
        <v>305</v>
      </c>
      <c r="H47" s="1">
        <v>126</v>
      </c>
      <c r="I47" s="21" t="s">
        <v>269</v>
      </c>
      <c r="J47" s="1">
        <v>125</v>
      </c>
      <c r="K47" s="21" t="s">
        <v>163</v>
      </c>
      <c r="L47" s="1" t="s">
        <v>304</v>
      </c>
      <c r="M47" s="2">
        <v>46104</v>
      </c>
      <c r="N47" s="21" t="s">
        <v>67</v>
      </c>
      <c r="O47" s="21" t="s">
        <v>137</v>
      </c>
      <c r="P47" s="21" t="s">
        <v>137</v>
      </c>
      <c r="Q47" s="2"/>
      <c r="R47" s="21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>MONTH(M47)</f>
        <v>3</v>
      </c>
    </row>
    <row r="48" spans="1:28" x14ac:dyDescent="0.35">
      <c r="A48" s="1">
        <v>1214655</v>
      </c>
      <c r="B48" s="21" t="s">
        <v>132</v>
      </c>
      <c r="C48" s="21" t="s">
        <v>138</v>
      </c>
      <c r="D48" s="21" t="s">
        <v>134</v>
      </c>
      <c r="E48" s="2">
        <v>46093</v>
      </c>
      <c r="F48" s="21" t="s">
        <v>146</v>
      </c>
      <c r="G48" s="21" t="s">
        <v>210</v>
      </c>
      <c r="H48" s="1">
        <v>1213</v>
      </c>
      <c r="I48" s="21" t="s">
        <v>231</v>
      </c>
      <c r="J48" s="1">
        <v>77</v>
      </c>
      <c r="K48" s="21" t="s">
        <v>163</v>
      </c>
      <c r="L48" s="1" t="s">
        <v>311</v>
      </c>
      <c r="M48" s="2">
        <v>46104</v>
      </c>
      <c r="N48" s="21" t="s">
        <v>67</v>
      </c>
      <c r="O48" s="21" t="s">
        <v>136</v>
      </c>
      <c r="P48" s="21" t="s">
        <v>137</v>
      </c>
      <c r="Q48" s="2"/>
      <c r="R48" s="21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>MONTH(M48)</f>
        <v>3</v>
      </c>
    </row>
    <row r="49" spans="1:28" x14ac:dyDescent="0.35">
      <c r="A49" s="1">
        <v>1371342</v>
      </c>
      <c r="B49" s="21" t="s">
        <v>132</v>
      </c>
      <c r="C49" s="21" t="s">
        <v>133</v>
      </c>
      <c r="D49" s="21" t="s">
        <v>134</v>
      </c>
      <c r="E49" s="2">
        <v>46059</v>
      </c>
      <c r="F49" s="21" t="s">
        <v>139</v>
      </c>
      <c r="G49" s="21" t="s">
        <v>159</v>
      </c>
      <c r="H49" s="1">
        <v>2335</v>
      </c>
      <c r="I49" s="21" t="s">
        <v>280</v>
      </c>
      <c r="J49" s="1">
        <v>92</v>
      </c>
      <c r="K49" s="21" t="s">
        <v>207</v>
      </c>
      <c r="M49" s="2">
        <v>46105</v>
      </c>
      <c r="N49" s="21" t="s">
        <v>67</v>
      </c>
      <c r="O49" s="21" t="s">
        <v>136</v>
      </c>
      <c r="P49" s="21" t="s">
        <v>137</v>
      </c>
      <c r="Q49" s="2"/>
      <c r="R49" s="21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>MONTH(M49)</f>
        <v>3</v>
      </c>
    </row>
    <row r="50" spans="1:28" x14ac:dyDescent="0.35">
      <c r="A50" s="1">
        <v>1486378</v>
      </c>
      <c r="B50" s="21" t="s">
        <v>132</v>
      </c>
      <c r="C50" s="21" t="s">
        <v>133</v>
      </c>
      <c r="D50" s="21" t="s">
        <v>134</v>
      </c>
      <c r="E50" s="2">
        <v>46062</v>
      </c>
      <c r="F50" s="21" t="s">
        <v>146</v>
      </c>
      <c r="G50" s="21" t="s">
        <v>291</v>
      </c>
      <c r="H50" s="1">
        <v>171</v>
      </c>
      <c r="I50" s="21"/>
      <c r="K50" s="21"/>
      <c r="M50" s="2">
        <v>46105</v>
      </c>
      <c r="N50" s="21" t="s">
        <v>67</v>
      </c>
      <c r="O50" s="21" t="s">
        <v>136</v>
      </c>
      <c r="P50" s="21" t="s">
        <v>137</v>
      </c>
      <c r="Q50" s="2"/>
      <c r="R50" s="21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>MONTH(M50)</f>
        <v>3</v>
      </c>
    </row>
    <row r="51" spans="1:28" x14ac:dyDescent="0.35">
      <c r="A51" s="1">
        <v>1493505</v>
      </c>
      <c r="B51" s="21" t="s">
        <v>132</v>
      </c>
      <c r="C51" s="21" t="s">
        <v>138</v>
      </c>
      <c r="D51" s="21" t="s">
        <v>134</v>
      </c>
      <c r="E51" s="2">
        <v>46055</v>
      </c>
      <c r="F51" s="21" t="s">
        <v>139</v>
      </c>
      <c r="G51" s="21" t="s">
        <v>252</v>
      </c>
      <c r="H51" s="1">
        <v>1005</v>
      </c>
      <c r="I51" s="21" t="s">
        <v>253</v>
      </c>
      <c r="J51" s="1">
        <v>11</v>
      </c>
      <c r="K51" s="21" t="s">
        <v>207</v>
      </c>
      <c r="M51" s="2">
        <v>46106</v>
      </c>
      <c r="N51" s="21" t="s">
        <v>67</v>
      </c>
      <c r="O51" s="21" t="s">
        <v>137</v>
      </c>
      <c r="P51" s="21" t="s">
        <v>137</v>
      </c>
      <c r="Q51" s="2"/>
      <c r="R51" s="21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>MONTH(M51)</f>
        <v>3</v>
      </c>
    </row>
    <row r="52" spans="1:28" x14ac:dyDescent="0.35">
      <c r="A52" s="1">
        <v>1361130</v>
      </c>
      <c r="B52" s="21" t="s">
        <v>132</v>
      </c>
      <c r="C52" s="21" t="s">
        <v>138</v>
      </c>
      <c r="D52" s="21" t="s">
        <v>134</v>
      </c>
      <c r="E52" s="2">
        <v>46094</v>
      </c>
      <c r="F52" s="21" t="s">
        <v>139</v>
      </c>
      <c r="G52" s="21" t="s">
        <v>316</v>
      </c>
      <c r="H52" s="1">
        <v>151</v>
      </c>
      <c r="I52" s="21" t="s">
        <v>317</v>
      </c>
      <c r="J52" s="1">
        <v>131</v>
      </c>
      <c r="K52" s="21" t="s">
        <v>163</v>
      </c>
      <c r="L52" s="1" t="s">
        <v>318</v>
      </c>
      <c r="M52" s="2">
        <v>46106</v>
      </c>
      <c r="N52" s="21" t="s">
        <v>67</v>
      </c>
      <c r="O52" s="21" t="s">
        <v>137</v>
      </c>
      <c r="P52" s="21" t="s">
        <v>137</v>
      </c>
      <c r="Q52" s="2"/>
      <c r="R52" s="21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>MONTH(M52)</f>
        <v>3</v>
      </c>
    </row>
    <row r="53" spans="1:28" x14ac:dyDescent="0.35">
      <c r="A53" s="1">
        <v>1463669</v>
      </c>
      <c r="B53" s="21" t="s">
        <v>132</v>
      </c>
      <c r="C53" s="21" t="s">
        <v>138</v>
      </c>
      <c r="D53" s="21" t="s">
        <v>134</v>
      </c>
      <c r="E53" s="2">
        <v>46101</v>
      </c>
      <c r="F53" s="21" t="s">
        <v>146</v>
      </c>
      <c r="G53" s="21" t="s">
        <v>188</v>
      </c>
      <c r="H53" s="1">
        <v>234</v>
      </c>
      <c r="I53" s="21" t="s">
        <v>186</v>
      </c>
      <c r="J53" s="1">
        <v>72</v>
      </c>
      <c r="K53" s="21" t="s">
        <v>151</v>
      </c>
      <c r="L53" s="1" t="s">
        <v>324</v>
      </c>
      <c r="M53" s="2">
        <v>46107</v>
      </c>
      <c r="N53" s="21" t="s">
        <v>67</v>
      </c>
      <c r="O53" s="21" t="s">
        <v>137</v>
      </c>
      <c r="P53" s="21" t="s">
        <v>137</v>
      </c>
      <c r="Q53" s="2"/>
      <c r="R53" s="21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>MONTH(M53)</f>
        <v>3</v>
      </c>
    </row>
    <row r="54" spans="1:28" x14ac:dyDescent="0.35">
      <c r="A54" s="1">
        <v>715262</v>
      </c>
      <c r="B54" s="21" t="s">
        <v>132</v>
      </c>
      <c r="C54" s="21" t="s">
        <v>138</v>
      </c>
      <c r="D54" s="21" t="s">
        <v>134</v>
      </c>
      <c r="E54" s="2">
        <v>46101</v>
      </c>
      <c r="F54" s="21" t="s">
        <v>146</v>
      </c>
      <c r="G54" s="21" t="s">
        <v>342</v>
      </c>
      <c r="H54" s="1">
        <v>60</v>
      </c>
      <c r="I54" s="21" t="s">
        <v>228</v>
      </c>
      <c r="J54" s="1">
        <v>15</v>
      </c>
      <c r="K54" s="21" t="s">
        <v>167</v>
      </c>
      <c r="L54" s="1" t="s">
        <v>320</v>
      </c>
      <c r="M54" s="2">
        <v>46107</v>
      </c>
      <c r="N54" s="21" t="s">
        <v>67</v>
      </c>
      <c r="O54" s="21" t="s">
        <v>137</v>
      </c>
      <c r="P54" s="21" t="s">
        <v>137</v>
      </c>
      <c r="Q54" s="2"/>
      <c r="R54" s="21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>MONTH(M54)</f>
        <v>3</v>
      </c>
    </row>
    <row r="55" spans="1:28" x14ac:dyDescent="0.35">
      <c r="A55" s="1">
        <v>1463370</v>
      </c>
      <c r="B55" s="21" t="s">
        <v>132</v>
      </c>
      <c r="C55" s="21" t="s">
        <v>138</v>
      </c>
      <c r="D55" s="21" t="s">
        <v>134</v>
      </c>
      <c r="E55" s="2">
        <v>46097</v>
      </c>
      <c r="F55" s="21" t="s">
        <v>146</v>
      </c>
      <c r="G55" s="21" t="s">
        <v>321</v>
      </c>
      <c r="H55" s="1">
        <v>566</v>
      </c>
      <c r="I55" s="21" t="s">
        <v>231</v>
      </c>
      <c r="J55" s="1">
        <v>77</v>
      </c>
      <c r="K55" s="21" t="s">
        <v>151</v>
      </c>
      <c r="L55" s="1" t="s">
        <v>322</v>
      </c>
      <c r="M55" s="2">
        <v>46108</v>
      </c>
      <c r="N55" s="21" t="s">
        <v>67</v>
      </c>
      <c r="O55" s="21" t="s">
        <v>137</v>
      </c>
      <c r="P55" s="21" t="s">
        <v>137</v>
      </c>
      <c r="Q55" s="2"/>
      <c r="R55" s="21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>MONTH(M55)</f>
        <v>3</v>
      </c>
    </row>
    <row r="56" spans="1:28" x14ac:dyDescent="0.35">
      <c r="A56" s="1">
        <v>1463496</v>
      </c>
      <c r="B56" s="21" t="s">
        <v>132</v>
      </c>
      <c r="C56" s="21" t="s">
        <v>138</v>
      </c>
      <c r="D56" s="21" t="s">
        <v>134</v>
      </c>
      <c r="E56" s="2">
        <v>46098</v>
      </c>
      <c r="F56" s="21" t="s">
        <v>146</v>
      </c>
      <c r="G56" s="21" t="s">
        <v>210</v>
      </c>
      <c r="H56" s="1">
        <v>429</v>
      </c>
      <c r="I56" s="21" t="s">
        <v>186</v>
      </c>
      <c r="J56" s="1">
        <v>30</v>
      </c>
      <c r="K56" s="21" t="s">
        <v>181</v>
      </c>
      <c r="L56" s="1" t="s">
        <v>325</v>
      </c>
      <c r="M56" s="2">
        <v>46111</v>
      </c>
      <c r="N56" s="21" t="s">
        <v>67</v>
      </c>
      <c r="O56" s="21" t="s">
        <v>137</v>
      </c>
      <c r="P56" s="21" t="s">
        <v>137</v>
      </c>
      <c r="Q56" s="2"/>
      <c r="R56" s="21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>MONTH(M56)</f>
        <v>3</v>
      </c>
    </row>
    <row r="57" spans="1:28" x14ac:dyDescent="0.35">
      <c r="A57" s="1">
        <v>13225</v>
      </c>
      <c r="B57" s="21" t="s">
        <v>132</v>
      </c>
      <c r="C57" s="21" t="s">
        <v>138</v>
      </c>
      <c r="D57" s="21" t="s">
        <v>134</v>
      </c>
      <c r="E57" s="2">
        <v>46100</v>
      </c>
      <c r="F57" s="21" t="s">
        <v>146</v>
      </c>
      <c r="G57" s="21" t="s">
        <v>333</v>
      </c>
      <c r="H57" s="1">
        <v>637</v>
      </c>
      <c r="I57" s="21" t="s">
        <v>334</v>
      </c>
      <c r="J57" s="1">
        <v>89</v>
      </c>
      <c r="K57" s="21" t="s">
        <v>163</v>
      </c>
      <c r="L57" s="1" t="s">
        <v>318</v>
      </c>
      <c r="M57" s="2">
        <v>46111</v>
      </c>
      <c r="N57" s="21" t="s">
        <v>67</v>
      </c>
      <c r="O57" s="21" t="s">
        <v>137</v>
      </c>
      <c r="P57" s="21" t="s">
        <v>137</v>
      </c>
      <c r="Q57" s="2"/>
      <c r="R57" s="21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>MONTH(M57)</f>
        <v>3</v>
      </c>
    </row>
    <row r="58" spans="1:28" x14ac:dyDescent="0.35">
      <c r="A58" s="1">
        <v>1507332</v>
      </c>
      <c r="B58" s="21" t="s">
        <v>132</v>
      </c>
      <c r="C58" s="21" t="s">
        <v>138</v>
      </c>
      <c r="D58" s="21" t="s">
        <v>134</v>
      </c>
      <c r="E58" s="2">
        <v>46100</v>
      </c>
      <c r="F58" s="21" t="s">
        <v>146</v>
      </c>
      <c r="G58" s="21" t="s">
        <v>335</v>
      </c>
      <c r="H58" s="1">
        <v>14</v>
      </c>
      <c r="I58" s="21" t="s">
        <v>228</v>
      </c>
      <c r="J58" s="1">
        <v>63</v>
      </c>
      <c r="K58" s="21" t="s">
        <v>336</v>
      </c>
      <c r="L58" s="1" t="s">
        <v>337</v>
      </c>
      <c r="M58" s="2">
        <v>46111</v>
      </c>
      <c r="N58" s="21" t="s">
        <v>67</v>
      </c>
      <c r="O58" s="21" t="s">
        <v>145</v>
      </c>
      <c r="P58" s="21" t="s">
        <v>241</v>
      </c>
      <c r="Q58" s="2">
        <v>46111</v>
      </c>
      <c r="R58" s="2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>MONTH(M58)</f>
        <v>3</v>
      </c>
    </row>
    <row r="59" spans="1:28" x14ac:dyDescent="0.35">
      <c r="A59" s="1">
        <v>1425296</v>
      </c>
      <c r="B59" s="21" t="s">
        <v>132</v>
      </c>
      <c r="C59" s="21" t="s">
        <v>138</v>
      </c>
      <c r="D59" s="21" t="s">
        <v>134</v>
      </c>
      <c r="E59" s="2">
        <v>46055</v>
      </c>
      <c r="F59" s="21" t="s">
        <v>146</v>
      </c>
      <c r="G59" s="21" t="s">
        <v>245</v>
      </c>
      <c r="H59" s="1">
        <v>226</v>
      </c>
      <c r="I59" s="21" t="s">
        <v>246</v>
      </c>
      <c r="J59" s="1">
        <v>5</v>
      </c>
      <c r="K59" s="21" t="s">
        <v>244</v>
      </c>
      <c r="M59" s="2">
        <v>46112</v>
      </c>
      <c r="N59" s="21" t="s">
        <v>67</v>
      </c>
      <c r="O59" s="21" t="s">
        <v>137</v>
      </c>
      <c r="P59" s="21" t="s">
        <v>137</v>
      </c>
      <c r="Q59" s="2"/>
      <c r="R59" s="21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>MONTH(M59)</f>
        <v>3</v>
      </c>
    </row>
    <row r="60" spans="1:28" x14ac:dyDescent="0.35">
      <c r="A60" s="1">
        <v>1425296</v>
      </c>
      <c r="B60" s="21" t="s">
        <v>132</v>
      </c>
      <c r="C60" s="21" t="s">
        <v>138</v>
      </c>
      <c r="D60" s="21" t="s">
        <v>134</v>
      </c>
      <c r="E60" s="2">
        <v>46055</v>
      </c>
      <c r="F60" s="21" t="s">
        <v>146</v>
      </c>
      <c r="G60" s="21" t="s">
        <v>245</v>
      </c>
      <c r="H60" s="1">
        <v>226</v>
      </c>
      <c r="I60" s="21" t="s">
        <v>246</v>
      </c>
      <c r="J60" s="1">
        <v>7</v>
      </c>
      <c r="K60" s="21" t="s">
        <v>244</v>
      </c>
      <c r="M60" s="2">
        <v>46112</v>
      </c>
      <c r="N60" s="21" t="s">
        <v>67</v>
      </c>
      <c r="O60" s="21" t="s">
        <v>137</v>
      </c>
      <c r="P60" s="21" t="s">
        <v>137</v>
      </c>
      <c r="Q60" s="2"/>
      <c r="R60" s="21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>MONTH(M60)</f>
        <v>3</v>
      </c>
    </row>
    <row r="61" spans="1:28" x14ac:dyDescent="0.35">
      <c r="A61" s="1">
        <v>1426288</v>
      </c>
      <c r="B61" s="21" t="s">
        <v>132</v>
      </c>
      <c r="C61" s="21" t="s">
        <v>138</v>
      </c>
      <c r="D61" s="21" t="s">
        <v>134</v>
      </c>
      <c r="E61" s="2">
        <v>46078</v>
      </c>
      <c r="F61" s="21" t="s">
        <v>146</v>
      </c>
      <c r="G61" s="21" t="s">
        <v>301</v>
      </c>
      <c r="H61" s="1">
        <v>1210</v>
      </c>
      <c r="I61" s="21" t="s">
        <v>147</v>
      </c>
      <c r="J61" s="1">
        <v>35</v>
      </c>
      <c r="K61" s="21" t="s">
        <v>281</v>
      </c>
      <c r="M61" s="2">
        <v>46112</v>
      </c>
      <c r="N61" s="21" t="s">
        <v>67</v>
      </c>
      <c r="O61" s="21" t="s">
        <v>137</v>
      </c>
      <c r="P61" s="21" t="s">
        <v>137</v>
      </c>
      <c r="Q61" s="2"/>
      <c r="R61" s="21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>MONTH(M61)</f>
        <v>3</v>
      </c>
    </row>
    <row r="62" spans="1:28" x14ac:dyDescent="0.35">
      <c r="A62" s="1">
        <v>1463475</v>
      </c>
      <c r="B62" s="21" t="s">
        <v>132</v>
      </c>
      <c r="C62" s="21" t="s">
        <v>133</v>
      </c>
      <c r="D62" s="21" t="s">
        <v>134</v>
      </c>
      <c r="E62" s="2">
        <v>46056</v>
      </c>
      <c r="F62" s="21" t="s">
        <v>146</v>
      </c>
      <c r="G62" s="21" t="s">
        <v>268</v>
      </c>
      <c r="H62" s="1">
        <v>2950</v>
      </c>
      <c r="I62" s="21" t="s">
        <v>269</v>
      </c>
      <c r="J62" s="1">
        <v>83</v>
      </c>
      <c r="K62" s="21" t="s">
        <v>244</v>
      </c>
      <c r="M62" s="2">
        <v>46113</v>
      </c>
      <c r="N62" s="21" t="s">
        <v>67</v>
      </c>
      <c r="O62" s="21" t="s">
        <v>145</v>
      </c>
      <c r="P62" s="21" t="s">
        <v>270</v>
      </c>
      <c r="Q62" s="2">
        <v>46119</v>
      </c>
      <c r="R62" s="2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>MONTH(M62)</f>
        <v>4</v>
      </c>
    </row>
    <row r="63" spans="1:28" x14ac:dyDescent="0.35">
      <c r="A63" s="1">
        <v>1444545</v>
      </c>
      <c r="B63" s="21" t="s">
        <v>132</v>
      </c>
      <c r="C63" s="21" t="s">
        <v>138</v>
      </c>
      <c r="D63" s="21" t="s">
        <v>134</v>
      </c>
      <c r="E63" s="2">
        <v>46099</v>
      </c>
      <c r="F63" s="21" t="s">
        <v>135</v>
      </c>
      <c r="G63" s="21" t="s">
        <v>204</v>
      </c>
      <c r="H63" s="1">
        <v>854</v>
      </c>
      <c r="I63" s="21" t="s">
        <v>327</v>
      </c>
      <c r="J63" s="1">
        <v>105</v>
      </c>
      <c r="K63" s="21" t="s">
        <v>142</v>
      </c>
      <c r="L63" s="1" t="s">
        <v>325</v>
      </c>
      <c r="M63" s="2">
        <v>46113</v>
      </c>
      <c r="N63" s="21" t="s">
        <v>67</v>
      </c>
      <c r="O63" s="21" t="s">
        <v>145</v>
      </c>
      <c r="P63" s="21" t="s">
        <v>329</v>
      </c>
      <c r="Q63" s="2">
        <v>46119</v>
      </c>
      <c r="R63" s="2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>MONTH(M63)</f>
        <v>4</v>
      </c>
    </row>
    <row r="64" spans="1:28" x14ac:dyDescent="0.35">
      <c r="A64" s="1">
        <v>1496317</v>
      </c>
      <c r="B64" s="21" t="s">
        <v>132</v>
      </c>
      <c r="C64" s="21" t="s">
        <v>138</v>
      </c>
      <c r="D64" s="21" t="s">
        <v>134</v>
      </c>
      <c r="E64" s="2">
        <v>46060</v>
      </c>
      <c r="F64" s="21" t="s">
        <v>135</v>
      </c>
      <c r="G64" s="21" t="s">
        <v>282</v>
      </c>
      <c r="H64" s="1">
        <v>100</v>
      </c>
      <c r="I64" s="21" t="s">
        <v>222</v>
      </c>
      <c r="J64" s="1">
        <v>16</v>
      </c>
      <c r="K64" s="21" t="s">
        <v>214</v>
      </c>
      <c r="M64" s="2">
        <v>46118</v>
      </c>
      <c r="N64" s="21" t="s">
        <v>67</v>
      </c>
      <c r="O64" s="21" t="s">
        <v>136</v>
      </c>
      <c r="P64" s="21" t="s">
        <v>137</v>
      </c>
      <c r="Q64" s="2"/>
      <c r="R64" s="21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>MONTH(M64)</f>
        <v>4</v>
      </c>
    </row>
    <row r="65" spans="1:28" x14ac:dyDescent="0.35">
      <c r="A65" s="1">
        <v>1496316</v>
      </c>
      <c r="B65" s="21" t="s">
        <v>132</v>
      </c>
      <c r="C65" s="21" t="s">
        <v>138</v>
      </c>
      <c r="D65" s="21" t="s">
        <v>134</v>
      </c>
      <c r="E65" s="2">
        <v>46060</v>
      </c>
      <c r="F65" s="21" t="s">
        <v>135</v>
      </c>
      <c r="G65" s="21" t="s">
        <v>285</v>
      </c>
      <c r="H65" s="1">
        <v>100</v>
      </c>
      <c r="I65" s="21" t="s">
        <v>222</v>
      </c>
      <c r="J65" s="1">
        <v>16</v>
      </c>
      <c r="K65" s="21" t="s">
        <v>247</v>
      </c>
      <c r="M65" s="2">
        <v>46118</v>
      </c>
      <c r="N65" s="21" t="s">
        <v>67</v>
      </c>
      <c r="O65" s="21" t="s">
        <v>136</v>
      </c>
      <c r="P65" s="21" t="s">
        <v>137</v>
      </c>
      <c r="Q65" s="2"/>
      <c r="R65" s="21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>MONTH(M65)</f>
        <v>4</v>
      </c>
    </row>
    <row r="66" spans="1:28" x14ac:dyDescent="0.35">
      <c r="A66" s="1">
        <v>1213436</v>
      </c>
      <c r="B66" s="21" t="s">
        <v>132</v>
      </c>
      <c r="C66" s="21" t="s">
        <v>138</v>
      </c>
      <c r="D66" s="21" t="s">
        <v>134</v>
      </c>
      <c r="E66" s="2">
        <v>46101</v>
      </c>
      <c r="F66" s="21" t="s">
        <v>165</v>
      </c>
      <c r="G66" s="21" t="s">
        <v>339</v>
      </c>
      <c r="H66" s="1">
        <v>390</v>
      </c>
      <c r="I66" s="21" t="s">
        <v>340</v>
      </c>
      <c r="J66" s="1">
        <v>39</v>
      </c>
      <c r="K66" s="21" t="s">
        <v>151</v>
      </c>
      <c r="L66" s="1" t="s">
        <v>325</v>
      </c>
      <c r="M66" s="2">
        <v>46118</v>
      </c>
      <c r="N66" s="21" t="s">
        <v>67</v>
      </c>
      <c r="O66" s="21" t="s">
        <v>136</v>
      </c>
      <c r="P66" s="21" t="s">
        <v>137</v>
      </c>
      <c r="Q66" s="2"/>
      <c r="R66" s="21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>MONTH(M66)</f>
        <v>4</v>
      </c>
    </row>
    <row r="67" spans="1:28" x14ac:dyDescent="0.35">
      <c r="A67" s="1">
        <v>1444439</v>
      </c>
      <c r="B67" s="21" t="s">
        <v>132</v>
      </c>
      <c r="C67" s="21" t="s">
        <v>138</v>
      </c>
      <c r="D67" s="21" t="s">
        <v>134</v>
      </c>
      <c r="E67" s="2">
        <v>46099</v>
      </c>
      <c r="F67" s="21" t="s">
        <v>135</v>
      </c>
      <c r="G67" s="21" t="s">
        <v>326</v>
      </c>
      <c r="H67" s="1">
        <v>60</v>
      </c>
      <c r="I67" s="21" t="s">
        <v>225</v>
      </c>
      <c r="J67" s="1">
        <v>59</v>
      </c>
      <c r="K67" s="21" t="s">
        <v>163</v>
      </c>
      <c r="L67" s="1" t="s">
        <v>318</v>
      </c>
      <c r="M67" s="2">
        <v>46119</v>
      </c>
      <c r="N67" s="21" t="s">
        <v>67</v>
      </c>
      <c r="O67" s="21" t="s">
        <v>145</v>
      </c>
      <c r="P67" s="21" t="s">
        <v>255</v>
      </c>
      <c r="Q67" s="2">
        <v>46122</v>
      </c>
      <c r="R67" s="21"/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>MONTH(M67)</f>
        <v>4</v>
      </c>
    </row>
    <row r="68" spans="1:28" x14ac:dyDescent="0.35">
      <c r="A68" s="1">
        <v>1444437</v>
      </c>
      <c r="B68" s="21" t="s">
        <v>132</v>
      </c>
      <c r="C68" s="21" t="s">
        <v>138</v>
      </c>
      <c r="D68" s="21" t="s">
        <v>134</v>
      </c>
      <c r="E68" s="2">
        <v>46101</v>
      </c>
      <c r="F68" s="21" t="s">
        <v>135</v>
      </c>
      <c r="G68" s="21" t="s">
        <v>326</v>
      </c>
      <c r="H68" s="1">
        <v>23</v>
      </c>
      <c r="I68" s="21" t="s">
        <v>225</v>
      </c>
      <c r="J68" s="1">
        <v>59</v>
      </c>
      <c r="K68" s="21" t="s">
        <v>191</v>
      </c>
      <c r="L68" s="1" t="s">
        <v>318</v>
      </c>
      <c r="M68" s="2">
        <v>46119</v>
      </c>
      <c r="N68" s="21" t="s">
        <v>67</v>
      </c>
      <c r="O68" s="21" t="s">
        <v>137</v>
      </c>
      <c r="P68" s="21" t="s">
        <v>137</v>
      </c>
      <c r="Q68" s="2"/>
      <c r="R68" s="21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>MONTH(M68)</f>
        <v>4</v>
      </c>
    </row>
    <row r="69" spans="1:28" x14ac:dyDescent="0.35">
      <c r="A69" s="1">
        <v>1463417</v>
      </c>
      <c r="B69" s="21" t="s">
        <v>132</v>
      </c>
      <c r="C69" s="21" t="s">
        <v>138</v>
      </c>
      <c r="D69" s="21" t="s">
        <v>134</v>
      </c>
      <c r="E69" s="2">
        <v>46118</v>
      </c>
      <c r="F69" s="21" t="s">
        <v>146</v>
      </c>
      <c r="G69" s="21" t="s">
        <v>359</v>
      </c>
      <c r="H69" s="1">
        <v>270</v>
      </c>
      <c r="I69" s="21" t="s">
        <v>269</v>
      </c>
      <c r="J69" s="1">
        <v>3</v>
      </c>
      <c r="K69" s="21" t="s">
        <v>160</v>
      </c>
      <c r="M69" s="2">
        <v>46120</v>
      </c>
      <c r="N69" s="21" t="s">
        <v>67</v>
      </c>
      <c r="O69" s="21" t="s">
        <v>137</v>
      </c>
      <c r="P69" s="21" t="s">
        <v>137</v>
      </c>
      <c r="Q69" s="2"/>
      <c r="R69" s="21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>MONTH(M69)</f>
        <v>4</v>
      </c>
    </row>
    <row r="70" spans="1:28" x14ac:dyDescent="0.35">
      <c r="A70" s="1">
        <v>1444551</v>
      </c>
      <c r="B70" s="21" t="s">
        <v>132</v>
      </c>
      <c r="C70" s="21" t="s">
        <v>138</v>
      </c>
      <c r="D70" s="21" t="s">
        <v>134</v>
      </c>
      <c r="E70" s="2">
        <v>46099</v>
      </c>
      <c r="F70" s="21" t="s">
        <v>135</v>
      </c>
      <c r="G70" s="21" t="s">
        <v>204</v>
      </c>
      <c r="H70" s="1">
        <v>1027</v>
      </c>
      <c r="I70" s="21" t="s">
        <v>327</v>
      </c>
      <c r="J70" s="1">
        <v>122</v>
      </c>
      <c r="K70" s="21" t="s">
        <v>151</v>
      </c>
      <c r="L70" s="1" t="s">
        <v>328</v>
      </c>
      <c r="M70" s="2">
        <v>46122</v>
      </c>
      <c r="N70" s="21" t="s">
        <v>67</v>
      </c>
      <c r="O70" s="21" t="s">
        <v>137</v>
      </c>
      <c r="P70" s="21" t="s">
        <v>137</v>
      </c>
      <c r="Q70" s="2"/>
      <c r="R70" s="21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>MONTH(M70)</f>
        <v>4</v>
      </c>
    </row>
    <row r="71" spans="1:28" x14ac:dyDescent="0.35">
      <c r="A71" s="1">
        <v>1444680</v>
      </c>
      <c r="B71" s="21" t="s">
        <v>132</v>
      </c>
      <c r="C71" s="21" t="s">
        <v>138</v>
      </c>
      <c r="D71" s="21" t="s">
        <v>134</v>
      </c>
      <c r="E71" s="2">
        <v>46101</v>
      </c>
      <c r="F71" s="21" t="s">
        <v>135</v>
      </c>
      <c r="G71" s="21" t="s">
        <v>341</v>
      </c>
      <c r="H71" s="1">
        <v>112</v>
      </c>
      <c r="I71" s="21" t="s">
        <v>332</v>
      </c>
      <c r="J71" s="1">
        <v>59</v>
      </c>
      <c r="K71" s="21" t="s">
        <v>167</v>
      </c>
      <c r="L71" s="1" t="s">
        <v>325</v>
      </c>
      <c r="M71" s="2">
        <v>46122</v>
      </c>
      <c r="N71" s="21" t="s">
        <v>67</v>
      </c>
      <c r="O71" s="21" t="s">
        <v>137</v>
      </c>
      <c r="P71" s="21" t="s">
        <v>137</v>
      </c>
      <c r="Q71" s="2"/>
      <c r="R71" s="21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>MONTH(M71)</f>
        <v>4</v>
      </c>
    </row>
    <row r="72" spans="1:28" x14ac:dyDescent="0.35">
      <c r="A72" s="1">
        <v>1500170</v>
      </c>
      <c r="B72" s="21" t="s">
        <v>132</v>
      </c>
      <c r="C72" s="21" t="s">
        <v>138</v>
      </c>
      <c r="D72" s="21" t="s">
        <v>134</v>
      </c>
      <c r="E72" s="2">
        <v>46118</v>
      </c>
      <c r="F72" s="21" t="s">
        <v>146</v>
      </c>
      <c r="G72" s="21" t="s">
        <v>353</v>
      </c>
      <c r="H72" s="1">
        <v>136</v>
      </c>
      <c r="I72" s="21" t="s">
        <v>246</v>
      </c>
      <c r="J72" s="1">
        <v>59</v>
      </c>
      <c r="K72" s="21" t="s">
        <v>351</v>
      </c>
      <c r="M72" s="2">
        <v>46122</v>
      </c>
      <c r="N72" s="21" t="s">
        <v>67</v>
      </c>
      <c r="O72" s="21" t="s">
        <v>137</v>
      </c>
      <c r="P72" s="21" t="s">
        <v>137</v>
      </c>
      <c r="Q72" s="2"/>
      <c r="R72" s="21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>MONTH(M72)</f>
        <v>4</v>
      </c>
    </row>
    <row r="73" spans="1:28" x14ac:dyDescent="0.35">
      <c r="A73" s="1">
        <v>1500170</v>
      </c>
      <c r="B73" s="21" t="s">
        <v>132</v>
      </c>
      <c r="C73" s="21" t="s">
        <v>138</v>
      </c>
      <c r="D73" s="21" t="s">
        <v>134</v>
      </c>
      <c r="E73" s="2">
        <v>46118</v>
      </c>
      <c r="F73" s="21" t="s">
        <v>146</v>
      </c>
      <c r="G73" s="21" t="s">
        <v>353</v>
      </c>
      <c r="H73" s="1">
        <v>136</v>
      </c>
      <c r="I73" s="21" t="s">
        <v>246</v>
      </c>
      <c r="J73" s="1">
        <v>53</v>
      </c>
      <c r="K73" s="21" t="s">
        <v>360</v>
      </c>
      <c r="M73" s="2">
        <v>46122</v>
      </c>
      <c r="N73" s="21" t="s">
        <v>67</v>
      </c>
      <c r="O73" s="21" t="s">
        <v>137</v>
      </c>
      <c r="P73" s="21" t="s">
        <v>137</v>
      </c>
      <c r="Q73" s="2"/>
      <c r="R73" s="21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>MONTH(M73)</f>
        <v>4</v>
      </c>
    </row>
    <row r="74" spans="1:28" x14ac:dyDescent="0.35">
      <c r="A74" s="1">
        <v>1500170</v>
      </c>
      <c r="B74" s="21" t="s">
        <v>132</v>
      </c>
      <c r="C74" s="21" t="s">
        <v>138</v>
      </c>
      <c r="D74" s="21" t="s">
        <v>134</v>
      </c>
      <c r="E74" s="2">
        <v>46118</v>
      </c>
      <c r="F74" s="21" t="s">
        <v>146</v>
      </c>
      <c r="G74" s="21" t="s">
        <v>353</v>
      </c>
      <c r="H74" s="1">
        <v>136</v>
      </c>
      <c r="I74" s="21" t="s">
        <v>246</v>
      </c>
      <c r="J74" s="1">
        <v>55</v>
      </c>
      <c r="K74" s="21" t="s">
        <v>360</v>
      </c>
      <c r="M74" s="2">
        <v>46122</v>
      </c>
      <c r="N74" s="21" t="s">
        <v>67</v>
      </c>
      <c r="O74" s="21" t="s">
        <v>137</v>
      </c>
      <c r="P74" s="21" t="s">
        <v>137</v>
      </c>
      <c r="Q74" s="2"/>
      <c r="R74" s="21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>MONTH(M74)</f>
        <v>4</v>
      </c>
    </row>
    <row r="75" spans="1:28" x14ac:dyDescent="0.35">
      <c r="A75" s="1">
        <v>1500170</v>
      </c>
      <c r="B75" s="21" t="s">
        <v>132</v>
      </c>
      <c r="C75" s="21" t="s">
        <v>138</v>
      </c>
      <c r="D75" s="21" t="s">
        <v>134</v>
      </c>
      <c r="E75" s="2">
        <v>46118</v>
      </c>
      <c r="F75" s="21" t="s">
        <v>146</v>
      </c>
      <c r="G75" s="21" t="s">
        <v>353</v>
      </c>
      <c r="H75" s="1">
        <v>136</v>
      </c>
      <c r="I75" s="21" t="s">
        <v>246</v>
      </c>
      <c r="J75" s="1">
        <v>57</v>
      </c>
      <c r="K75" s="21" t="s">
        <v>360</v>
      </c>
      <c r="M75" s="2">
        <v>46122</v>
      </c>
      <c r="N75" s="21" t="s">
        <v>67</v>
      </c>
      <c r="O75" s="21" t="s">
        <v>137</v>
      </c>
      <c r="P75" s="21" t="s">
        <v>137</v>
      </c>
      <c r="Q75" s="2"/>
      <c r="R75" s="21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>MONTH(M75)</f>
        <v>4</v>
      </c>
    </row>
    <row r="76" spans="1:28" x14ac:dyDescent="0.35">
      <c r="A76" s="1">
        <v>1485654</v>
      </c>
      <c r="B76" s="21" t="s">
        <v>132</v>
      </c>
      <c r="C76" s="21" t="s">
        <v>138</v>
      </c>
      <c r="D76" s="21" t="s">
        <v>134</v>
      </c>
      <c r="E76" s="2">
        <v>46055</v>
      </c>
      <c r="F76" s="21" t="s">
        <v>135</v>
      </c>
      <c r="G76" s="21" t="s">
        <v>259</v>
      </c>
      <c r="H76" s="1">
        <v>180</v>
      </c>
      <c r="I76" s="21" t="s">
        <v>222</v>
      </c>
      <c r="J76" s="1">
        <v>108</v>
      </c>
      <c r="K76" s="21" t="s">
        <v>260</v>
      </c>
      <c r="M76" s="2">
        <v>46126</v>
      </c>
      <c r="N76" s="21" t="s">
        <v>67</v>
      </c>
      <c r="O76" s="21" t="s">
        <v>136</v>
      </c>
      <c r="P76" s="21" t="s">
        <v>137</v>
      </c>
      <c r="Q76" s="2"/>
      <c r="R76" s="21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>MONTH(M76)</f>
        <v>4</v>
      </c>
    </row>
    <row r="77" spans="1:28" x14ac:dyDescent="0.35">
      <c r="A77" s="1">
        <v>1447399</v>
      </c>
      <c r="B77" s="21" t="s">
        <v>132</v>
      </c>
      <c r="C77" s="21" t="s">
        <v>138</v>
      </c>
      <c r="D77" s="21" t="s">
        <v>134</v>
      </c>
      <c r="E77" s="2">
        <v>46118</v>
      </c>
      <c r="F77" s="21" t="s">
        <v>161</v>
      </c>
      <c r="G77" s="21" t="s">
        <v>295</v>
      </c>
      <c r="H77" s="1">
        <v>466</v>
      </c>
      <c r="I77" s="21" t="s">
        <v>164</v>
      </c>
      <c r="J77" s="1">
        <v>68</v>
      </c>
      <c r="K77" s="21" t="s">
        <v>191</v>
      </c>
      <c r="L77" s="1" t="s">
        <v>355</v>
      </c>
      <c r="M77" s="2">
        <v>46126</v>
      </c>
      <c r="N77" s="21" t="s">
        <v>67</v>
      </c>
      <c r="O77" s="21" t="s">
        <v>137</v>
      </c>
      <c r="P77" s="21" t="s">
        <v>137</v>
      </c>
      <c r="Q77" s="2"/>
      <c r="R77" s="21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>MONTH(M77)</f>
        <v>4</v>
      </c>
    </row>
    <row r="78" spans="1:28" x14ac:dyDescent="0.35">
      <c r="A78" s="1">
        <v>1463300</v>
      </c>
      <c r="B78" s="21" t="s">
        <v>132</v>
      </c>
      <c r="C78" s="21" t="s">
        <v>138</v>
      </c>
      <c r="D78" s="21" t="s">
        <v>134</v>
      </c>
      <c r="E78" s="2">
        <v>46118</v>
      </c>
      <c r="F78" s="21" t="s">
        <v>146</v>
      </c>
      <c r="G78" s="21" t="s">
        <v>354</v>
      </c>
      <c r="H78" s="1">
        <v>572</v>
      </c>
      <c r="I78" s="21" t="s">
        <v>178</v>
      </c>
      <c r="J78" s="1">
        <v>61</v>
      </c>
      <c r="K78" s="21" t="s">
        <v>163</v>
      </c>
      <c r="M78" s="2">
        <v>46127</v>
      </c>
      <c r="N78" s="21" t="s">
        <v>67</v>
      </c>
      <c r="O78" s="21" t="s">
        <v>137</v>
      </c>
      <c r="P78" s="21" t="s">
        <v>137</v>
      </c>
      <c r="Q78" s="2"/>
      <c r="R78" s="21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>MONTH(M78)</f>
        <v>4</v>
      </c>
    </row>
    <row r="79" spans="1:28" x14ac:dyDescent="0.35">
      <c r="A79" s="1">
        <v>1444526</v>
      </c>
      <c r="B79" s="21" t="s">
        <v>132</v>
      </c>
      <c r="C79" s="21" t="s">
        <v>138</v>
      </c>
      <c r="D79" s="21" t="s">
        <v>134</v>
      </c>
      <c r="E79" s="2">
        <v>46100</v>
      </c>
      <c r="F79" s="21" t="s">
        <v>135</v>
      </c>
      <c r="G79" s="21" t="s">
        <v>331</v>
      </c>
      <c r="H79" s="1">
        <v>372</v>
      </c>
      <c r="I79" s="21" t="s">
        <v>332</v>
      </c>
      <c r="J79" s="1">
        <v>124</v>
      </c>
      <c r="K79" s="21" t="s">
        <v>163</v>
      </c>
      <c r="L79" s="1" t="s">
        <v>325</v>
      </c>
      <c r="M79" s="2">
        <v>46128</v>
      </c>
      <c r="N79" s="21" t="s">
        <v>67</v>
      </c>
      <c r="O79" s="21" t="s">
        <v>137</v>
      </c>
      <c r="P79" s="21" t="s">
        <v>137</v>
      </c>
      <c r="Q79" s="2"/>
      <c r="R79" s="21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>MONTH(M79)</f>
        <v>4</v>
      </c>
    </row>
    <row r="80" spans="1:28" x14ac:dyDescent="0.35">
      <c r="A80" s="1">
        <v>1515962</v>
      </c>
      <c r="B80" s="21" t="s">
        <v>132</v>
      </c>
      <c r="C80" s="21" t="s">
        <v>138</v>
      </c>
      <c r="D80" s="21" t="s">
        <v>134</v>
      </c>
      <c r="E80" s="2">
        <v>46118</v>
      </c>
      <c r="F80" s="21" t="s">
        <v>139</v>
      </c>
      <c r="G80" s="21" t="s">
        <v>357</v>
      </c>
      <c r="H80" s="1">
        <v>355</v>
      </c>
      <c r="I80" s="21" t="s">
        <v>143</v>
      </c>
      <c r="J80" s="1">
        <v>25</v>
      </c>
      <c r="K80" s="21" t="s">
        <v>181</v>
      </c>
      <c r="L80" s="1" t="s">
        <v>358</v>
      </c>
      <c r="M80" s="2">
        <v>46129</v>
      </c>
      <c r="N80" s="21" t="s">
        <v>22</v>
      </c>
      <c r="O80" s="21" t="s">
        <v>137</v>
      </c>
      <c r="P80" s="21" t="s">
        <v>137</v>
      </c>
      <c r="Q80" s="2"/>
      <c r="R80" s="21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>MONTH(M80)</f>
        <v>4</v>
      </c>
    </row>
    <row r="81" spans="1:28" x14ac:dyDescent="0.35">
      <c r="A81" s="1">
        <v>1516416</v>
      </c>
      <c r="B81" s="21" t="s">
        <v>132</v>
      </c>
      <c r="C81" s="21" t="s">
        <v>138</v>
      </c>
      <c r="D81" s="21" t="s">
        <v>134</v>
      </c>
      <c r="E81" s="2">
        <v>46129</v>
      </c>
      <c r="F81" s="21" t="s">
        <v>139</v>
      </c>
      <c r="G81" s="21" t="s">
        <v>357</v>
      </c>
      <c r="H81" s="1">
        <v>455</v>
      </c>
      <c r="I81" s="21" t="s">
        <v>143</v>
      </c>
      <c r="J81" s="1">
        <v>25</v>
      </c>
      <c r="K81" s="21" t="s">
        <v>167</v>
      </c>
      <c r="L81" s="1" t="s">
        <v>358</v>
      </c>
      <c r="M81" s="2">
        <v>46129</v>
      </c>
      <c r="N81" s="21" t="s">
        <v>22</v>
      </c>
      <c r="O81" s="21" t="s">
        <v>137</v>
      </c>
      <c r="P81" s="21" t="s">
        <v>137</v>
      </c>
      <c r="Q81" s="2"/>
      <c r="R81" s="21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>MONTH(M81)</f>
        <v>4</v>
      </c>
    </row>
    <row r="82" spans="1:28" x14ac:dyDescent="0.35">
      <c r="A82" s="1">
        <v>1522781</v>
      </c>
      <c r="B82" s="21" t="s">
        <v>132</v>
      </c>
      <c r="C82" s="21" t="s">
        <v>138</v>
      </c>
      <c r="D82" s="21" t="s">
        <v>134</v>
      </c>
      <c r="E82" s="2">
        <v>46134</v>
      </c>
      <c r="F82" s="21" t="s">
        <v>139</v>
      </c>
      <c r="G82" s="21" t="s">
        <v>174</v>
      </c>
      <c r="H82" s="1">
        <v>80</v>
      </c>
      <c r="I82" s="21" t="s">
        <v>141</v>
      </c>
      <c r="J82" s="1">
        <v>3</v>
      </c>
      <c r="K82" s="21" t="s">
        <v>169</v>
      </c>
      <c r="L82" s="1" t="s">
        <v>369</v>
      </c>
      <c r="M82" s="2">
        <v>46141</v>
      </c>
      <c r="N82" s="21" t="s">
        <v>21</v>
      </c>
      <c r="O82" s="21" t="s">
        <v>137</v>
      </c>
      <c r="P82" s="21" t="s">
        <v>137</v>
      </c>
      <c r="Q82" s="2"/>
      <c r="R82" s="21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>MONTH(M82)</f>
        <v>4</v>
      </c>
    </row>
    <row r="83" spans="1:28" x14ac:dyDescent="0.35">
      <c r="A83" s="1">
        <v>1536955</v>
      </c>
      <c r="B83" s="21" t="s">
        <v>132</v>
      </c>
      <c r="C83" s="21" t="s">
        <v>138</v>
      </c>
      <c r="D83" s="21" t="s">
        <v>134</v>
      </c>
      <c r="E83" s="2">
        <v>46136</v>
      </c>
      <c r="F83" s="21" t="s">
        <v>139</v>
      </c>
      <c r="G83" s="21" t="s">
        <v>388</v>
      </c>
      <c r="H83" s="1">
        <v>455</v>
      </c>
      <c r="I83" s="21" t="s">
        <v>143</v>
      </c>
      <c r="J83" s="1">
        <v>25</v>
      </c>
      <c r="K83" s="21" t="s">
        <v>167</v>
      </c>
      <c r="L83" s="1" t="s">
        <v>348</v>
      </c>
      <c r="M83" s="2">
        <v>46142</v>
      </c>
      <c r="N83" s="21" t="s">
        <v>21</v>
      </c>
      <c r="O83" s="21" t="s">
        <v>137</v>
      </c>
      <c r="P83" s="21" t="s">
        <v>137</v>
      </c>
      <c r="Q83" s="2"/>
      <c r="R83" s="21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>MONTH(M83)</f>
        <v>4</v>
      </c>
    </row>
    <row r="84" spans="1:28" x14ac:dyDescent="0.35">
      <c r="A84" s="1">
        <v>1453124</v>
      </c>
      <c r="B84" s="21" t="s">
        <v>132</v>
      </c>
      <c r="C84" s="21" t="s">
        <v>138</v>
      </c>
      <c r="D84" s="21" t="s">
        <v>134</v>
      </c>
      <c r="E84" s="2">
        <v>46134</v>
      </c>
      <c r="F84" s="21" t="s">
        <v>165</v>
      </c>
      <c r="G84" s="21" t="s">
        <v>373</v>
      </c>
      <c r="H84" s="1">
        <v>370</v>
      </c>
      <c r="I84" s="21" t="s">
        <v>374</v>
      </c>
      <c r="J84" s="1">
        <v>103</v>
      </c>
      <c r="K84" s="21" t="s">
        <v>235</v>
      </c>
      <c r="L84" s="1" t="s">
        <v>375</v>
      </c>
      <c r="M84" s="2">
        <v>46146</v>
      </c>
      <c r="N84" s="21" t="s">
        <v>33</v>
      </c>
      <c r="O84" s="21" t="s">
        <v>137</v>
      </c>
      <c r="P84" s="21" t="s">
        <v>137</v>
      </c>
      <c r="Q84" s="2"/>
      <c r="R84" s="21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>MONTH(M84)</f>
        <v>5</v>
      </c>
    </row>
    <row r="85" spans="1:28" x14ac:dyDescent="0.35">
      <c r="A85" s="1">
        <v>1453124</v>
      </c>
      <c r="B85" s="21" t="s">
        <v>132</v>
      </c>
      <c r="C85" s="21" t="s">
        <v>138</v>
      </c>
      <c r="D85" s="21" t="s">
        <v>134</v>
      </c>
      <c r="E85" s="2">
        <v>46134</v>
      </c>
      <c r="F85" s="21" t="s">
        <v>165</v>
      </c>
      <c r="G85" s="21" t="s">
        <v>373</v>
      </c>
      <c r="H85" s="1">
        <v>370</v>
      </c>
      <c r="I85" s="21" t="s">
        <v>374</v>
      </c>
      <c r="J85" s="1">
        <v>106</v>
      </c>
      <c r="K85" s="21" t="s">
        <v>235</v>
      </c>
      <c r="L85" s="1" t="s">
        <v>376</v>
      </c>
      <c r="M85" s="2">
        <v>46146</v>
      </c>
      <c r="N85" s="21" t="s">
        <v>33</v>
      </c>
      <c r="O85" s="21" t="s">
        <v>137</v>
      </c>
      <c r="P85" s="21" t="s">
        <v>137</v>
      </c>
      <c r="Q85" s="2"/>
      <c r="R85" s="21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>MONTH(M85)</f>
        <v>5</v>
      </c>
    </row>
    <row r="86" spans="1:28" x14ac:dyDescent="0.35">
      <c r="A86" s="1">
        <v>1453124</v>
      </c>
      <c r="B86" s="21" t="s">
        <v>132</v>
      </c>
      <c r="C86" s="21" t="s">
        <v>138</v>
      </c>
      <c r="D86" s="21" t="s">
        <v>134</v>
      </c>
      <c r="E86" s="2">
        <v>46134</v>
      </c>
      <c r="F86" s="21" t="s">
        <v>165</v>
      </c>
      <c r="G86" s="21" t="s">
        <v>373</v>
      </c>
      <c r="H86" s="1">
        <v>370</v>
      </c>
      <c r="I86" s="21" t="s">
        <v>374</v>
      </c>
      <c r="J86" s="1">
        <v>104</v>
      </c>
      <c r="K86" s="21" t="s">
        <v>377</v>
      </c>
      <c r="L86" s="1" t="s">
        <v>378</v>
      </c>
      <c r="M86" s="2">
        <v>46146</v>
      </c>
      <c r="N86" s="21" t="s">
        <v>33</v>
      </c>
      <c r="O86" s="21" t="s">
        <v>137</v>
      </c>
      <c r="P86" s="21" t="s">
        <v>137</v>
      </c>
      <c r="Q86" s="2"/>
      <c r="R86" s="21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>MONTH(M86)</f>
        <v>5</v>
      </c>
    </row>
    <row r="87" spans="1:28" x14ac:dyDescent="0.35">
      <c r="A87" s="1">
        <v>1489478</v>
      </c>
      <c r="B87" s="21" t="s">
        <v>132</v>
      </c>
      <c r="C87" s="21" t="s">
        <v>138</v>
      </c>
      <c r="D87" s="21" t="s">
        <v>134</v>
      </c>
      <c r="E87" s="2">
        <v>46134</v>
      </c>
      <c r="F87" s="21" t="s">
        <v>146</v>
      </c>
      <c r="G87" s="21" t="s">
        <v>371</v>
      </c>
      <c r="H87" s="1">
        <v>125</v>
      </c>
      <c r="I87" s="21" t="s">
        <v>246</v>
      </c>
      <c r="J87" s="1">
        <v>27</v>
      </c>
      <c r="K87" s="21" t="s">
        <v>352</v>
      </c>
      <c r="L87" s="1" t="s">
        <v>372</v>
      </c>
      <c r="M87" s="2">
        <v>46147</v>
      </c>
      <c r="N87" s="21" t="s">
        <v>67</v>
      </c>
      <c r="O87" s="21" t="s">
        <v>136</v>
      </c>
      <c r="P87" s="21" t="s">
        <v>137</v>
      </c>
      <c r="Q87" s="2"/>
      <c r="R87" s="21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>MONTH(M87)</f>
        <v>5</v>
      </c>
    </row>
    <row r="88" spans="1:28" x14ac:dyDescent="0.35">
      <c r="A88" s="1">
        <v>1463408</v>
      </c>
      <c r="B88" s="21" t="s">
        <v>132</v>
      </c>
      <c r="C88" s="21" t="s">
        <v>138</v>
      </c>
      <c r="D88" s="21" t="s">
        <v>134</v>
      </c>
      <c r="E88" s="2">
        <v>46134</v>
      </c>
      <c r="F88" s="21" t="s">
        <v>146</v>
      </c>
      <c r="G88" s="21" t="s">
        <v>300</v>
      </c>
      <c r="H88" s="1">
        <v>314</v>
      </c>
      <c r="I88" s="21" t="s">
        <v>379</v>
      </c>
      <c r="J88" s="1">
        <v>53</v>
      </c>
      <c r="K88" s="21" t="s">
        <v>361</v>
      </c>
      <c r="L88" s="1" t="s">
        <v>380</v>
      </c>
      <c r="M88" s="2">
        <v>46147</v>
      </c>
      <c r="N88" s="21" t="s">
        <v>67</v>
      </c>
      <c r="O88" s="21" t="s">
        <v>145</v>
      </c>
      <c r="P88" s="21" t="s">
        <v>381</v>
      </c>
      <c r="Q88" s="2"/>
      <c r="R88" s="2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>MONTH(M88)</f>
        <v>5</v>
      </c>
    </row>
    <row r="89" spans="1:28" x14ac:dyDescent="0.35">
      <c r="A89" s="1">
        <v>1463430</v>
      </c>
      <c r="B89" s="21" t="s">
        <v>132</v>
      </c>
      <c r="C89" s="21" t="s">
        <v>138</v>
      </c>
      <c r="D89" s="21" t="s">
        <v>134</v>
      </c>
      <c r="E89" s="2">
        <v>46136</v>
      </c>
      <c r="F89" s="21" t="s">
        <v>146</v>
      </c>
      <c r="G89" s="21" t="s">
        <v>385</v>
      </c>
      <c r="H89" s="1">
        <v>247</v>
      </c>
      <c r="I89" s="21" t="s">
        <v>246</v>
      </c>
      <c r="J89" s="1">
        <v>19</v>
      </c>
      <c r="K89" s="21" t="s">
        <v>384</v>
      </c>
      <c r="L89" s="1" t="s">
        <v>386</v>
      </c>
      <c r="M89" s="2">
        <v>46147</v>
      </c>
      <c r="N89" s="21" t="s">
        <v>67</v>
      </c>
      <c r="O89" s="21" t="s">
        <v>137</v>
      </c>
      <c r="P89" s="21" t="s">
        <v>137</v>
      </c>
      <c r="Q89" s="2"/>
      <c r="R89" s="21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>MONTH(M89)</f>
        <v>5</v>
      </c>
    </row>
    <row r="90" spans="1:28" x14ac:dyDescent="0.35">
      <c r="A90" s="1">
        <v>1463430</v>
      </c>
      <c r="B90" s="21" t="s">
        <v>132</v>
      </c>
      <c r="C90" s="21" t="s">
        <v>138</v>
      </c>
      <c r="D90" s="21" t="s">
        <v>134</v>
      </c>
      <c r="E90" s="2">
        <v>46136</v>
      </c>
      <c r="F90" s="21" t="s">
        <v>146</v>
      </c>
      <c r="G90" s="21" t="s">
        <v>385</v>
      </c>
      <c r="H90" s="1">
        <v>247</v>
      </c>
      <c r="I90" s="21" t="s">
        <v>246</v>
      </c>
      <c r="J90" s="1">
        <v>21</v>
      </c>
      <c r="K90" s="21" t="s">
        <v>344</v>
      </c>
      <c r="L90" s="1" t="s">
        <v>387</v>
      </c>
      <c r="M90" s="2">
        <v>46147</v>
      </c>
      <c r="N90" s="21" t="s">
        <v>67</v>
      </c>
      <c r="O90" s="21" t="s">
        <v>137</v>
      </c>
      <c r="P90" s="21" t="s">
        <v>137</v>
      </c>
      <c r="Q90" s="2"/>
      <c r="R90" s="21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>MONTH(M90)</f>
        <v>5</v>
      </c>
    </row>
    <row r="91" spans="1:28" x14ac:dyDescent="0.35">
      <c r="A91" s="1">
        <v>1463430</v>
      </c>
      <c r="B91" s="21" t="s">
        <v>132</v>
      </c>
      <c r="C91" s="21" t="s">
        <v>138</v>
      </c>
      <c r="D91" s="21" t="s">
        <v>134</v>
      </c>
      <c r="E91" s="2">
        <v>46136</v>
      </c>
      <c r="F91" s="21" t="s">
        <v>146</v>
      </c>
      <c r="G91" s="21" t="s">
        <v>385</v>
      </c>
      <c r="H91" s="1">
        <v>247</v>
      </c>
      <c r="I91" s="21" t="s">
        <v>246</v>
      </c>
      <c r="J91" s="1">
        <v>17</v>
      </c>
      <c r="K91" s="21" t="s">
        <v>389</v>
      </c>
      <c r="L91" s="1" t="s">
        <v>390</v>
      </c>
      <c r="M91" s="2">
        <v>46147</v>
      </c>
      <c r="N91" s="21" t="s">
        <v>67</v>
      </c>
      <c r="O91" s="21" t="s">
        <v>137</v>
      </c>
      <c r="P91" s="21" t="s">
        <v>137</v>
      </c>
      <c r="Q91" s="2"/>
      <c r="R91" s="21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>MONTH(M91)</f>
        <v>5</v>
      </c>
    </row>
    <row r="92" spans="1:28" x14ac:dyDescent="0.35">
      <c r="A92" s="1">
        <v>42811</v>
      </c>
      <c r="B92" s="21" t="s">
        <v>132</v>
      </c>
      <c r="C92" s="21" t="s">
        <v>138</v>
      </c>
      <c r="D92" s="21" t="s">
        <v>134</v>
      </c>
      <c r="E92" s="2">
        <v>46142</v>
      </c>
      <c r="F92" s="21" t="s">
        <v>139</v>
      </c>
      <c r="G92" s="21" t="s">
        <v>203</v>
      </c>
      <c r="H92" s="1">
        <v>65</v>
      </c>
      <c r="I92" s="21" t="s">
        <v>261</v>
      </c>
      <c r="J92" s="1">
        <v>47</v>
      </c>
      <c r="K92" s="21" t="s">
        <v>404</v>
      </c>
      <c r="L92" s="1" t="s">
        <v>405</v>
      </c>
      <c r="M92" s="2">
        <v>46150</v>
      </c>
      <c r="N92" s="21" t="s">
        <v>28</v>
      </c>
      <c r="O92" s="21" t="s">
        <v>136</v>
      </c>
      <c r="P92" s="21" t="s">
        <v>137</v>
      </c>
      <c r="Q92" s="2"/>
      <c r="R92" s="21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>MONTH(M92)</f>
        <v>5</v>
      </c>
    </row>
    <row r="93" spans="1:28" x14ac:dyDescent="0.35">
      <c r="A93" s="1">
        <v>1514240</v>
      </c>
      <c r="B93" s="21" t="s">
        <v>132</v>
      </c>
      <c r="C93" s="21" t="s">
        <v>138</v>
      </c>
      <c r="D93" s="21" t="s">
        <v>134</v>
      </c>
      <c r="E93" s="2">
        <v>46140</v>
      </c>
      <c r="F93" s="21" t="s">
        <v>139</v>
      </c>
      <c r="G93" s="21" t="s">
        <v>393</v>
      </c>
      <c r="H93" s="1">
        <v>647</v>
      </c>
      <c r="I93" s="21" t="s">
        <v>143</v>
      </c>
      <c r="J93" s="1">
        <v>26</v>
      </c>
      <c r="K93" s="21" t="s">
        <v>394</v>
      </c>
      <c r="L93" s="1" t="s">
        <v>391</v>
      </c>
      <c r="M93" s="2">
        <v>46151</v>
      </c>
      <c r="N93" s="21" t="s">
        <v>3</v>
      </c>
      <c r="O93" s="21" t="s">
        <v>137</v>
      </c>
      <c r="P93" s="21" t="s">
        <v>137</v>
      </c>
      <c r="Q93" s="2"/>
      <c r="R93" s="2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>MONTH(M93)</f>
        <v>5</v>
      </c>
    </row>
    <row r="94" spans="1:28" x14ac:dyDescent="0.35">
      <c r="A94" s="1">
        <v>1422284</v>
      </c>
      <c r="B94" s="21" t="s">
        <v>132</v>
      </c>
      <c r="C94" s="21" t="s">
        <v>138</v>
      </c>
      <c r="D94" s="21" t="s">
        <v>134</v>
      </c>
      <c r="E94" s="2">
        <v>46141</v>
      </c>
      <c r="F94" s="21" t="s">
        <v>139</v>
      </c>
      <c r="G94" s="21" t="s">
        <v>401</v>
      </c>
      <c r="H94" s="1">
        <v>802</v>
      </c>
      <c r="I94" s="21" t="s">
        <v>143</v>
      </c>
      <c r="J94" s="1">
        <v>143</v>
      </c>
      <c r="K94" s="21" t="s">
        <v>167</v>
      </c>
      <c r="L94" s="1" t="s">
        <v>356</v>
      </c>
      <c r="M94" s="2">
        <v>46151</v>
      </c>
      <c r="N94" s="21" t="s">
        <v>28</v>
      </c>
      <c r="O94" s="21" t="s">
        <v>136</v>
      </c>
      <c r="P94" s="21" t="s">
        <v>137</v>
      </c>
      <c r="Q94" s="2"/>
      <c r="R94" s="2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>MONTH(M94)</f>
        <v>5</v>
      </c>
    </row>
    <row r="95" spans="1:28" x14ac:dyDescent="0.35">
      <c r="A95" s="1">
        <v>1549581</v>
      </c>
      <c r="B95" s="21" t="s">
        <v>132</v>
      </c>
      <c r="C95" s="21" t="s">
        <v>138</v>
      </c>
      <c r="D95" s="21" t="s">
        <v>134</v>
      </c>
      <c r="E95" s="2">
        <v>46153</v>
      </c>
      <c r="F95" s="21" t="s">
        <v>155</v>
      </c>
      <c r="G95" s="21" t="s">
        <v>406</v>
      </c>
      <c r="H95" s="1">
        <v>550</v>
      </c>
      <c r="I95" s="21" t="s">
        <v>364</v>
      </c>
      <c r="J95" s="1">
        <v>9</v>
      </c>
      <c r="K95" s="21" t="s">
        <v>404</v>
      </c>
      <c r="L95" s="1" t="s">
        <v>407</v>
      </c>
      <c r="M95" s="2">
        <v>46167</v>
      </c>
      <c r="N95" s="21" t="s">
        <v>22</v>
      </c>
      <c r="O95" s="21" t="s">
        <v>137</v>
      </c>
      <c r="P95" s="21" t="s">
        <v>137</v>
      </c>
      <c r="Q95" s="2"/>
      <c r="R95" s="21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>MONTH(M95)</f>
        <v>5</v>
      </c>
    </row>
    <row r="96" spans="1:28" x14ac:dyDescent="0.35">
      <c r="A96" s="1">
        <v>877532</v>
      </c>
      <c r="B96" s="21" t="s">
        <v>132</v>
      </c>
      <c r="C96" s="21" t="s">
        <v>138</v>
      </c>
      <c r="D96" s="21" t="s">
        <v>134</v>
      </c>
      <c r="E96" s="2">
        <v>46153</v>
      </c>
      <c r="F96" s="21" t="s">
        <v>155</v>
      </c>
      <c r="G96" s="21" t="s">
        <v>406</v>
      </c>
      <c r="H96" s="1">
        <v>550</v>
      </c>
      <c r="I96" s="21" t="s">
        <v>364</v>
      </c>
      <c r="J96" s="1">
        <v>7</v>
      </c>
      <c r="K96" s="21" t="s">
        <v>404</v>
      </c>
      <c r="L96" s="1" t="s">
        <v>408</v>
      </c>
      <c r="M96" s="2">
        <v>46167</v>
      </c>
      <c r="N96" s="21" t="s">
        <v>22</v>
      </c>
      <c r="O96" s="21" t="s">
        <v>137</v>
      </c>
      <c r="P96" s="21" t="s">
        <v>137</v>
      </c>
      <c r="Q96" s="2"/>
      <c r="R96" s="21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>MONTH(M96)</f>
        <v>5</v>
      </c>
    </row>
    <row r="97" spans="1:28" x14ac:dyDescent="0.35">
      <c r="A97" s="1">
        <v>1427305</v>
      </c>
      <c r="B97" s="21" t="s">
        <v>132</v>
      </c>
      <c r="C97" s="21" t="s">
        <v>138</v>
      </c>
      <c r="D97" s="21" t="s">
        <v>134</v>
      </c>
      <c r="E97" s="2">
        <v>46154</v>
      </c>
      <c r="F97" s="21" t="s">
        <v>165</v>
      </c>
      <c r="G97" s="21" t="s">
        <v>412</v>
      </c>
      <c r="H97" s="1">
        <v>291</v>
      </c>
      <c r="I97" s="21" t="s">
        <v>166</v>
      </c>
      <c r="J97" s="1">
        <v>75</v>
      </c>
      <c r="K97" s="21" t="s">
        <v>413</v>
      </c>
      <c r="L97" s="1" t="s">
        <v>391</v>
      </c>
      <c r="M97" s="2">
        <v>46167</v>
      </c>
      <c r="N97" s="21" t="s">
        <v>33</v>
      </c>
      <c r="O97" s="21" t="s">
        <v>137</v>
      </c>
      <c r="P97" s="21" t="s">
        <v>137</v>
      </c>
      <c r="Q97" s="2"/>
      <c r="R97" s="21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>MONTH(M97)</f>
        <v>5</v>
      </c>
    </row>
    <row r="98" spans="1:28" x14ac:dyDescent="0.35">
      <c r="A98" s="1">
        <v>1343461</v>
      </c>
      <c r="B98" s="21" t="s">
        <v>132</v>
      </c>
      <c r="C98" s="21" t="s">
        <v>138</v>
      </c>
      <c r="D98" s="21" t="s">
        <v>134</v>
      </c>
      <c r="E98" s="2">
        <v>46157</v>
      </c>
      <c r="F98" s="21" t="s">
        <v>149</v>
      </c>
      <c r="G98" s="21" t="s">
        <v>419</v>
      </c>
      <c r="H98" s="1">
        <v>105</v>
      </c>
      <c r="I98" s="21" t="s">
        <v>420</v>
      </c>
      <c r="J98" s="1">
        <v>132</v>
      </c>
      <c r="K98" s="21" t="s">
        <v>421</v>
      </c>
      <c r="L98" s="1" t="s">
        <v>422</v>
      </c>
      <c r="M98" s="2">
        <v>46169</v>
      </c>
      <c r="N98" s="21" t="s">
        <v>28</v>
      </c>
      <c r="O98" s="21" t="s">
        <v>137</v>
      </c>
      <c r="P98" s="21" t="s">
        <v>137</v>
      </c>
      <c r="Q98" s="2"/>
      <c r="R98" s="21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>MONTH(M98)</f>
        <v>5</v>
      </c>
    </row>
    <row r="99" spans="1:28" x14ac:dyDescent="0.35">
      <c r="A99" s="1">
        <v>1343462</v>
      </c>
      <c r="B99" s="21" t="s">
        <v>132</v>
      </c>
      <c r="C99" s="21" t="s">
        <v>138</v>
      </c>
      <c r="D99" s="21" t="s">
        <v>134</v>
      </c>
      <c r="E99" s="2">
        <v>46157</v>
      </c>
      <c r="F99" s="21" t="s">
        <v>149</v>
      </c>
      <c r="G99" s="21" t="s">
        <v>419</v>
      </c>
      <c r="H99" s="1">
        <v>105</v>
      </c>
      <c r="I99" s="21" t="s">
        <v>420</v>
      </c>
      <c r="J99" s="1">
        <v>131</v>
      </c>
      <c r="K99" s="21" t="s">
        <v>423</v>
      </c>
      <c r="L99" s="1" t="s">
        <v>424</v>
      </c>
      <c r="M99" s="2">
        <v>46169</v>
      </c>
      <c r="N99" s="21" t="s">
        <v>28</v>
      </c>
      <c r="O99" s="21" t="s">
        <v>137</v>
      </c>
      <c r="P99" s="21" t="s">
        <v>137</v>
      </c>
      <c r="Q99" s="2"/>
      <c r="R99" s="21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>MONTH(M99)</f>
        <v>5</v>
      </c>
    </row>
    <row r="100" spans="1:28" x14ac:dyDescent="0.35">
      <c r="A100" s="1">
        <v>1463481</v>
      </c>
      <c r="B100" s="21" t="s">
        <v>132</v>
      </c>
      <c r="C100" s="21" t="s">
        <v>138</v>
      </c>
      <c r="D100" s="21" t="s">
        <v>134</v>
      </c>
      <c r="E100" s="2">
        <v>46154</v>
      </c>
      <c r="F100" s="21" t="s">
        <v>139</v>
      </c>
      <c r="G100" s="21" t="s">
        <v>409</v>
      </c>
      <c r="H100" s="1">
        <v>436</v>
      </c>
      <c r="I100" s="21" t="s">
        <v>253</v>
      </c>
      <c r="J100" s="1">
        <v>111</v>
      </c>
      <c r="K100" s="21" t="s">
        <v>410</v>
      </c>
      <c r="L100" s="1" t="s">
        <v>411</v>
      </c>
      <c r="M100" s="2">
        <v>46183</v>
      </c>
      <c r="N100" s="21" t="s">
        <v>21</v>
      </c>
      <c r="O100" s="21" t="s">
        <v>137</v>
      </c>
      <c r="P100" s="21" t="s">
        <v>137</v>
      </c>
      <c r="Q100" s="2"/>
      <c r="R100" s="21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>MONTH(M100)</f>
        <v>6</v>
      </c>
    </row>
    <row r="101" spans="1:28" x14ac:dyDescent="0.35">
      <c r="A101" s="1">
        <v>1551907</v>
      </c>
      <c r="B101" s="21" t="s">
        <v>132</v>
      </c>
      <c r="C101" s="21" t="s">
        <v>138</v>
      </c>
      <c r="D101" s="21" t="s">
        <v>134</v>
      </c>
      <c r="E101" s="2">
        <v>46154</v>
      </c>
      <c r="F101" s="21" t="s">
        <v>139</v>
      </c>
      <c r="G101" s="21" t="s">
        <v>409</v>
      </c>
      <c r="H101" s="1">
        <v>436</v>
      </c>
      <c r="I101" s="21" t="s">
        <v>253</v>
      </c>
      <c r="J101" s="1">
        <v>110</v>
      </c>
      <c r="K101" s="21" t="s">
        <v>414</v>
      </c>
      <c r="L101" s="1" t="s">
        <v>415</v>
      </c>
      <c r="M101" s="2">
        <v>46183</v>
      </c>
      <c r="N101" s="21" t="s">
        <v>21</v>
      </c>
      <c r="O101" s="21" t="s">
        <v>137</v>
      </c>
      <c r="P101" s="21" t="s">
        <v>137</v>
      </c>
      <c r="Q101" s="2"/>
      <c r="R101" s="21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>MONTH(M101)</f>
        <v>6</v>
      </c>
    </row>
    <row r="102" spans="1:28" x14ac:dyDescent="0.35">
      <c r="A102" s="1">
        <v>654396</v>
      </c>
      <c r="B102" s="21" t="s">
        <v>132</v>
      </c>
      <c r="C102" s="21" t="s">
        <v>428</v>
      </c>
      <c r="D102" s="21" t="s">
        <v>134</v>
      </c>
      <c r="E102" s="2">
        <v>46181</v>
      </c>
      <c r="F102" s="21" t="s">
        <v>155</v>
      </c>
      <c r="G102" s="21" t="s">
        <v>439</v>
      </c>
      <c r="H102" s="1">
        <v>327</v>
      </c>
      <c r="I102" s="21" t="s">
        <v>440</v>
      </c>
      <c r="J102" s="1">
        <v>7</v>
      </c>
      <c r="K102" s="21" t="s">
        <v>366</v>
      </c>
      <c r="L102" s="1" t="s">
        <v>441</v>
      </c>
      <c r="M102" s="2">
        <v>46189</v>
      </c>
      <c r="N102" s="21" t="s">
        <v>9</v>
      </c>
      <c r="O102" s="21" t="s">
        <v>137</v>
      </c>
      <c r="P102" s="21" t="s">
        <v>137</v>
      </c>
      <c r="Q102" s="2"/>
      <c r="R102" s="21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>MONTH(M102)</f>
        <v>6</v>
      </c>
    </row>
    <row r="103" spans="1:28" x14ac:dyDescent="0.35">
      <c r="A103" s="1">
        <v>1361146</v>
      </c>
      <c r="B103" s="21" t="s">
        <v>132</v>
      </c>
      <c r="C103" s="21" t="s">
        <v>428</v>
      </c>
      <c r="D103" s="21" t="s">
        <v>134</v>
      </c>
      <c r="E103" s="2">
        <v>46182</v>
      </c>
      <c r="F103" s="21" t="s">
        <v>139</v>
      </c>
      <c r="G103" s="21" t="s">
        <v>461</v>
      </c>
      <c r="H103" s="1">
        <v>655</v>
      </c>
      <c r="I103" s="21" t="s">
        <v>262</v>
      </c>
      <c r="J103" s="1">
        <v>61</v>
      </c>
      <c r="K103" s="21" t="s">
        <v>462</v>
      </c>
      <c r="L103" s="1" t="s">
        <v>463</v>
      </c>
      <c r="M103" s="2">
        <v>46189</v>
      </c>
      <c r="N103" s="21" t="s">
        <v>3</v>
      </c>
      <c r="O103" s="21" t="s">
        <v>137</v>
      </c>
      <c r="P103" s="21" t="s">
        <v>137</v>
      </c>
      <c r="Q103" s="2"/>
      <c r="R103" s="21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>MONTH(M103)</f>
        <v>6</v>
      </c>
    </row>
    <row r="104" spans="1:28" x14ac:dyDescent="0.35">
      <c r="A104" s="1">
        <v>1499924</v>
      </c>
      <c r="B104" s="21" t="s">
        <v>132</v>
      </c>
      <c r="C104" s="21" t="s">
        <v>428</v>
      </c>
      <c r="D104" s="21" t="s">
        <v>134</v>
      </c>
      <c r="E104" s="2">
        <v>46182</v>
      </c>
      <c r="F104" s="21" t="s">
        <v>155</v>
      </c>
      <c r="G104" s="21" t="s">
        <v>454</v>
      </c>
      <c r="H104" s="1">
        <v>400</v>
      </c>
      <c r="I104" s="21" t="s">
        <v>455</v>
      </c>
      <c r="J104" s="1">
        <v>72</v>
      </c>
      <c r="K104" s="21" t="s">
        <v>181</v>
      </c>
      <c r="L104" s="1" t="s">
        <v>456</v>
      </c>
      <c r="M104" s="2">
        <v>46190</v>
      </c>
      <c r="N104" s="21" t="s">
        <v>9</v>
      </c>
      <c r="O104" s="21" t="s">
        <v>137</v>
      </c>
      <c r="P104" s="21" t="s">
        <v>137</v>
      </c>
      <c r="Q104" s="2"/>
      <c r="R104" s="21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>MONTH(M104)</f>
        <v>6</v>
      </c>
    </row>
    <row r="105" spans="1:28" x14ac:dyDescent="0.35">
      <c r="A105" s="1">
        <v>1499888</v>
      </c>
      <c r="B105" s="21" t="s">
        <v>132</v>
      </c>
      <c r="C105" s="21" t="s">
        <v>428</v>
      </c>
      <c r="D105" s="21" t="s">
        <v>134</v>
      </c>
      <c r="E105" s="2">
        <v>46182</v>
      </c>
      <c r="F105" s="21" t="s">
        <v>155</v>
      </c>
      <c r="G105" s="21" t="s">
        <v>457</v>
      </c>
      <c r="H105" s="1">
        <v>434</v>
      </c>
      <c r="I105" s="21" t="s">
        <v>458</v>
      </c>
      <c r="J105" s="1">
        <v>45</v>
      </c>
      <c r="K105" s="21" t="s">
        <v>459</v>
      </c>
      <c r="L105" s="1" t="s">
        <v>460</v>
      </c>
      <c r="M105" s="2">
        <v>46190</v>
      </c>
      <c r="N105" s="21" t="s">
        <v>9</v>
      </c>
      <c r="O105" s="21" t="s">
        <v>137</v>
      </c>
      <c r="P105" s="21" t="s">
        <v>137</v>
      </c>
      <c r="Q105" s="2"/>
      <c r="R105" s="21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>MONTH(M105)</f>
        <v>6</v>
      </c>
    </row>
    <row r="106" spans="1:28" x14ac:dyDescent="0.35">
      <c r="A106" s="1">
        <v>1513447</v>
      </c>
      <c r="B106" s="21" t="s">
        <v>132</v>
      </c>
      <c r="C106" s="21" t="s">
        <v>428</v>
      </c>
      <c r="D106" s="21" t="s">
        <v>134</v>
      </c>
      <c r="E106" s="2">
        <v>46182</v>
      </c>
      <c r="F106" s="21" t="s">
        <v>135</v>
      </c>
      <c r="G106" s="21" t="s">
        <v>467</v>
      </c>
      <c r="H106" s="1">
        <v>1060</v>
      </c>
      <c r="I106" s="21" t="s">
        <v>343</v>
      </c>
      <c r="J106" s="1">
        <v>28</v>
      </c>
      <c r="K106" s="21" t="s">
        <v>468</v>
      </c>
      <c r="L106" s="1" t="s">
        <v>144</v>
      </c>
      <c r="M106" s="2">
        <v>46190</v>
      </c>
      <c r="N106" s="21" t="s">
        <v>21</v>
      </c>
      <c r="O106" s="21" t="s">
        <v>137</v>
      </c>
      <c r="P106" s="21" t="s">
        <v>137</v>
      </c>
      <c r="Q106" s="2"/>
      <c r="R106" s="21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>MONTH(M106)</f>
        <v>6</v>
      </c>
    </row>
    <row r="107" spans="1:28" x14ac:dyDescent="0.35">
      <c r="A107" s="1">
        <v>1513447</v>
      </c>
      <c r="B107" s="21" t="s">
        <v>132</v>
      </c>
      <c r="C107" s="21" t="s">
        <v>428</v>
      </c>
      <c r="D107" s="21" t="s">
        <v>134</v>
      </c>
      <c r="E107" s="2">
        <v>46182</v>
      </c>
      <c r="F107" s="21" t="s">
        <v>135</v>
      </c>
      <c r="G107" s="21" t="s">
        <v>467</v>
      </c>
      <c r="H107" s="1">
        <v>1060</v>
      </c>
      <c r="I107" s="21" t="s">
        <v>469</v>
      </c>
      <c r="J107" s="1">
        <v>65</v>
      </c>
      <c r="K107" s="21" t="s">
        <v>470</v>
      </c>
      <c r="L107" s="1" t="s">
        <v>471</v>
      </c>
      <c r="M107" s="2">
        <v>46190</v>
      </c>
      <c r="N107" s="21" t="s">
        <v>21</v>
      </c>
      <c r="O107" s="21" t="s">
        <v>137</v>
      </c>
      <c r="P107" s="21" t="s">
        <v>137</v>
      </c>
      <c r="Q107" s="2"/>
      <c r="R107" s="21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>MONTH(M107)</f>
        <v>6</v>
      </c>
    </row>
    <row r="108" spans="1:28" x14ac:dyDescent="0.35">
      <c r="A108" s="1">
        <v>1423384</v>
      </c>
      <c r="B108" s="21" t="s">
        <v>132</v>
      </c>
      <c r="C108" s="21" t="s">
        <v>428</v>
      </c>
      <c r="D108" s="21" t="s">
        <v>134</v>
      </c>
      <c r="E108" s="2">
        <v>46184</v>
      </c>
      <c r="F108" s="21" t="s">
        <v>155</v>
      </c>
      <c r="G108" s="21" t="s">
        <v>156</v>
      </c>
      <c r="H108" s="1">
        <v>47</v>
      </c>
      <c r="I108" s="21" t="s">
        <v>472</v>
      </c>
      <c r="J108" s="1">
        <v>1</v>
      </c>
      <c r="K108" s="21" t="s">
        <v>251</v>
      </c>
      <c r="M108" s="2">
        <v>46190</v>
      </c>
      <c r="N108" s="21" t="s">
        <v>9</v>
      </c>
      <c r="O108" s="21" t="s">
        <v>137</v>
      </c>
      <c r="P108" s="21" t="s">
        <v>137</v>
      </c>
      <c r="Q108" s="2"/>
      <c r="R108" s="21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>MONTH(M108)</f>
        <v>6</v>
      </c>
    </row>
    <row r="109" spans="1:28" x14ac:dyDescent="0.35">
      <c r="A109" s="1">
        <v>1379994</v>
      </c>
      <c r="B109" s="21" t="s">
        <v>132</v>
      </c>
      <c r="C109" s="21" t="s">
        <v>428</v>
      </c>
      <c r="D109" s="21" t="s">
        <v>134</v>
      </c>
      <c r="E109" s="2">
        <v>46184</v>
      </c>
      <c r="F109" s="21" t="s">
        <v>155</v>
      </c>
      <c r="G109" s="21" t="s">
        <v>475</v>
      </c>
      <c r="H109" s="1">
        <v>743</v>
      </c>
      <c r="I109" s="21" t="s">
        <v>455</v>
      </c>
      <c r="J109" s="1">
        <v>45</v>
      </c>
      <c r="K109" s="21" t="s">
        <v>170</v>
      </c>
      <c r="L109" s="1" t="s">
        <v>443</v>
      </c>
      <c r="M109" s="2">
        <v>46190</v>
      </c>
      <c r="N109" s="21" t="s">
        <v>9</v>
      </c>
      <c r="O109" s="21" t="s">
        <v>137</v>
      </c>
      <c r="P109" s="21" t="s">
        <v>137</v>
      </c>
      <c r="Q109" s="2"/>
      <c r="R109" s="21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>MONTH(M109)</f>
        <v>6</v>
      </c>
    </row>
    <row r="110" spans="1:28" x14ac:dyDescent="0.35">
      <c r="A110" s="1">
        <v>1540864</v>
      </c>
      <c r="B110" s="21" t="s">
        <v>132</v>
      </c>
      <c r="C110" s="21" t="s">
        <v>428</v>
      </c>
      <c r="D110" s="21" t="s">
        <v>134</v>
      </c>
      <c r="E110" s="2">
        <v>46182</v>
      </c>
      <c r="F110" s="21" t="s">
        <v>153</v>
      </c>
      <c r="G110" s="21" t="s">
        <v>444</v>
      </c>
      <c r="H110" s="1">
        <v>76</v>
      </c>
      <c r="I110" s="21" t="s">
        <v>434</v>
      </c>
      <c r="J110" s="1">
        <v>23</v>
      </c>
      <c r="K110" s="21" t="s">
        <v>142</v>
      </c>
      <c r="L110" s="1" t="s">
        <v>431</v>
      </c>
      <c r="M110" s="2">
        <v>46192</v>
      </c>
      <c r="N110" s="21" t="s">
        <v>28</v>
      </c>
      <c r="O110" s="21" t="s">
        <v>137</v>
      </c>
      <c r="P110" s="21" t="s">
        <v>137</v>
      </c>
      <c r="Q110" s="2"/>
      <c r="R110" s="21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>MONTH(M110)</f>
        <v>6</v>
      </c>
    </row>
    <row r="111" spans="1:28" x14ac:dyDescent="0.35">
      <c r="A111" s="1">
        <v>1426672</v>
      </c>
      <c r="B111" s="21" t="s">
        <v>132</v>
      </c>
      <c r="C111" s="21" t="s">
        <v>428</v>
      </c>
      <c r="D111" s="21" t="s">
        <v>134</v>
      </c>
      <c r="E111" s="2">
        <v>46184</v>
      </c>
      <c r="F111" s="21" t="s">
        <v>146</v>
      </c>
      <c r="G111" s="21" t="s">
        <v>473</v>
      </c>
      <c r="H111" s="1">
        <v>17</v>
      </c>
      <c r="I111" s="21" t="s">
        <v>474</v>
      </c>
      <c r="J111" s="1">
        <v>95</v>
      </c>
      <c r="K111" s="21" t="s">
        <v>170</v>
      </c>
      <c r="L111" s="1" t="s">
        <v>431</v>
      </c>
      <c r="M111" s="2">
        <v>46192</v>
      </c>
      <c r="N111" s="21" t="s">
        <v>5</v>
      </c>
      <c r="O111" s="21" t="s">
        <v>137</v>
      </c>
      <c r="P111" s="21" t="s">
        <v>137</v>
      </c>
      <c r="Q111" s="2"/>
      <c r="R111" s="21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>MONTH(M111)</f>
        <v>6</v>
      </c>
    </row>
    <row r="112" spans="1:28" x14ac:dyDescent="0.35">
      <c r="A112" s="1">
        <v>1215525</v>
      </c>
      <c r="B112" s="21" t="s">
        <v>132</v>
      </c>
      <c r="C112" s="21" t="s">
        <v>425</v>
      </c>
      <c r="D112" s="21" t="s">
        <v>134</v>
      </c>
      <c r="E112" s="2">
        <v>46192</v>
      </c>
      <c r="F112" s="21" t="s">
        <v>139</v>
      </c>
      <c r="G112" s="21" t="s">
        <v>491</v>
      </c>
      <c r="H112" s="1">
        <v>225</v>
      </c>
      <c r="I112" s="21" t="s">
        <v>347</v>
      </c>
      <c r="J112" s="1">
        <v>80</v>
      </c>
      <c r="K112" s="21" t="s">
        <v>492</v>
      </c>
      <c r="L112" s="1" t="s">
        <v>432</v>
      </c>
      <c r="M112" s="2">
        <v>46196</v>
      </c>
      <c r="N112" s="21" t="s">
        <v>3</v>
      </c>
      <c r="O112" s="21" t="s">
        <v>137</v>
      </c>
      <c r="P112" s="21" t="s">
        <v>137</v>
      </c>
      <c r="Q112" s="2"/>
      <c r="R112" s="21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>MONTH(M112)</f>
        <v>6</v>
      </c>
    </row>
    <row r="113" spans="1:28" x14ac:dyDescent="0.35">
      <c r="A113" s="1">
        <v>1425833</v>
      </c>
      <c r="B113" s="21" t="s">
        <v>132</v>
      </c>
      <c r="C113" s="21" t="s">
        <v>428</v>
      </c>
      <c r="D113" s="21" t="s">
        <v>134</v>
      </c>
      <c r="E113" s="2">
        <v>46189</v>
      </c>
      <c r="F113" s="21" t="s">
        <v>135</v>
      </c>
      <c r="G113" s="21" t="s">
        <v>479</v>
      </c>
      <c r="H113" s="1">
        <v>305</v>
      </c>
      <c r="I113" s="21" t="s">
        <v>346</v>
      </c>
      <c r="J113" s="1">
        <v>131</v>
      </c>
      <c r="K113" s="21" t="s">
        <v>229</v>
      </c>
      <c r="L113" s="1" t="s">
        <v>435</v>
      </c>
      <c r="M113" s="2">
        <v>46197</v>
      </c>
      <c r="N113" s="21" t="s">
        <v>3</v>
      </c>
      <c r="O113" s="21" t="s">
        <v>137</v>
      </c>
      <c r="P113" s="21" t="s">
        <v>137</v>
      </c>
      <c r="Q113" s="2"/>
      <c r="R113" s="21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>MONTH(M113)</f>
        <v>6</v>
      </c>
    </row>
    <row r="114" spans="1:28" x14ac:dyDescent="0.35">
      <c r="A114" s="1">
        <v>1425833</v>
      </c>
      <c r="B114" s="21" t="s">
        <v>132</v>
      </c>
      <c r="C114" s="21" t="s">
        <v>428</v>
      </c>
      <c r="D114" s="21" t="s">
        <v>134</v>
      </c>
      <c r="E114" s="2">
        <v>46189</v>
      </c>
      <c r="F114" s="21" t="s">
        <v>135</v>
      </c>
      <c r="G114" s="21" t="s">
        <v>479</v>
      </c>
      <c r="H114" s="1">
        <v>305</v>
      </c>
      <c r="I114" s="21" t="s">
        <v>346</v>
      </c>
      <c r="J114" s="1">
        <v>131</v>
      </c>
      <c r="K114" s="21" t="s">
        <v>229</v>
      </c>
      <c r="L114" s="1" t="s">
        <v>435</v>
      </c>
      <c r="M114" s="2">
        <v>46197</v>
      </c>
      <c r="N114" s="21" t="s">
        <v>3</v>
      </c>
      <c r="O114" s="21" t="s">
        <v>137</v>
      </c>
      <c r="P114" s="21" t="s">
        <v>137</v>
      </c>
      <c r="Q114" s="2"/>
      <c r="R114" s="21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>MONTH(M114)</f>
        <v>6</v>
      </c>
    </row>
    <row r="115" spans="1:28" x14ac:dyDescent="0.35">
      <c r="A115" s="1">
        <v>653975</v>
      </c>
      <c r="B115" s="21" t="s">
        <v>132</v>
      </c>
      <c r="C115" s="21" t="s">
        <v>428</v>
      </c>
      <c r="D115" s="21" t="s">
        <v>134</v>
      </c>
      <c r="E115" s="2">
        <v>46190</v>
      </c>
      <c r="F115" s="21" t="s">
        <v>155</v>
      </c>
      <c r="G115" s="21" t="s">
        <v>484</v>
      </c>
      <c r="H115" s="1">
        <v>1838</v>
      </c>
      <c r="I115" s="21" t="s">
        <v>458</v>
      </c>
      <c r="J115" s="1">
        <v>25</v>
      </c>
      <c r="K115" s="21" t="s">
        <v>485</v>
      </c>
      <c r="L115" s="1" t="s">
        <v>486</v>
      </c>
      <c r="M115" s="2">
        <v>46197</v>
      </c>
      <c r="N115" s="21" t="s">
        <v>9</v>
      </c>
      <c r="O115" s="21" t="s">
        <v>137</v>
      </c>
      <c r="P115" s="21" t="s">
        <v>137</v>
      </c>
      <c r="Q115" s="2"/>
      <c r="R115" s="21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>MONTH(M115)</f>
        <v>6</v>
      </c>
    </row>
    <row r="116" spans="1:28" x14ac:dyDescent="0.35">
      <c r="A116" s="1">
        <v>653975</v>
      </c>
      <c r="B116" s="21" t="s">
        <v>132</v>
      </c>
      <c r="C116" s="21" t="s">
        <v>428</v>
      </c>
      <c r="D116" s="21" t="s">
        <v>134</v>
      </c>
      <c r="E116" s="2">
        <v>46190</v>
      </c>
      <c r="F116" s="21" t="s">
        <v>155</v>
      </c>
      <c r="G116" s="21" t="s">
        <v>484</v>
      </c>
      <c r="H116" s="1">
        <v>1838</v>
      </c>
      <c r="I116" s="21" t="s">
        <v>458</v>
      </c>
      <c r="J116" s="1">
        <v>25</v>
      </c>
      <c r="K116" s="21" t="s">
        <v>485</v>
      </c>
      <c r="L116" s="1" t="s">
        <v>486</v>
      </c>
      <c r="M116" s="2">
        <v>46197</v>
      </c>
      <c r="N116" s="21" t="s">
        <v>9</v>
      </c>
      <c r="O116" s="21" t="s">
        <v>137</v>
      </c>
      <c r="P116" s="21" t="s">
        <v>137</v>
      </c>
      <c r="Q116" s="2"/>
      <c r="R116" s="21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>MONTH(M116)</f>
        <v>6</v>
      </c>
    </row>
    <row r="117" spans="1:28" x14ac:dyDescent="0.35">
      <c r="A117" s="1">
        <v>1361859</v>
      </c>
      <c r="B117" s="21" t="s">
        <v>132</v>
      </c>
      <c r="C117" s="21" t="s">
        <v>428</v>
      </c>
      <c r="D117" s="21" t="s">
        <v>134</v>
      </c>
      <c r="E117" s="2">
        <v>46190</v>
      </c>
      <c r="F117" s="21" t="s">
        <v>155</v>
      </c>
      <c r="G117" s="21" t="s">
        <v>197</v>
      </c>
      <c r="H117" s="1">
        <v>210</v>
      </c>
      <c r="I117" s="21" t="s">
        <v>458</v>
      </c>
      <c r="J117" s="1">
        <v>53</v>
      </c>
      <c r="K117" s="21" t="s">
        <v>487</v>
      </c>
      <c r="M117" s="2">
        <v>46197</v>
      </c>
      <c r="N117" s="21" t="s">
        <v>9</v>
      </c>
      <c r="O117" s="21" t="s">
        <v>137</v>
      </c>
      <c r="P117" s="21" t="s">
        <v>137</v>
      </c>
      <c r="Q117" s="2"/>
      <c r="R117" s="21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>MONTH(M117)</f>
        <v>6</v>
      </c>
    </row>
    <row r="118" spans="1:28" x14ac:dyDescent="0.35">
      <c r="A118" s="1">
        <v>1361859</v>
      </c>
      <c r="B118" s="21" t="s">
        <v>132</v>
      </c>
      <c r="C118" s="21" t="s">
        <v>428</v>
      </c>
      <c r="D118" s="21" t="s">
        <v>134</v>
      </c>
      <c r="E118" s="2">
        <v>46190</v>
      </c>
      <c r="F118" s="21" t="s">
        <v>155</v>
      </c>
      <c r="G118" s="21" t="s">
        <v>197</v>
      </c>
      <c r="H118" s="1">
        <v>210</v>
      </c>
      <c r="I118" s="21" t="s">
        <v>458</v>
      </c>
      <c r="J118" s="1">
        <v>53</v>
      </c>
      <c r="K118" s="21" t="s">
        <v>487</v>
      </c>
      <c r="M118" s="2">
        <v>46197</v>
      </c>
      <c r="N118" s="21" t="s">
        <v>9</v>
      </c>
      <c r="O118" s="21" t="s">
        <v>137</v>
      </c>
      <c r="P118" s="21" t="s">
        <v>137</v>
      </c>
      <c r="Q118" s="2"/>
      <c r="R118" s="21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>MONTH(M118)</f>
        <v>6</v>
      </c>
    </row>
    <row r="119" spans="1:28" x14ac:dyDescent="0.35">
      <c r="A119" s="1">
        <v>1426361</v>
      </c>
      <c r="B119" s="21" t="s">
        <v>132</v>
      </c>
      <c r="C119" s="21" t="s">
        <v>428</v>
      </c>
      <c r="D119" s="21" t="s">
        <v>134</v>
      </c>
      <c r="E119" s="2">
        <v>46181</v>
      </c>
      <c r="F119" s="21" t="s">
        <v>149</v>
      </c>
      <c r="G119" s="21" t="s">
        <v>442</v>
      </c>
      <c r="H119" s="1">
        <v>547</v>
      </c>
      <c r="I119" s="21" t="s">
        <v>182</v>
      </c>
      <c r="J119" s="1">
        <v>53</v>
      </c>
      <c r="K119" s="21" t="s">
        <v>191</v>
      </c>
      <c r="L119" s="1" t="s">
        <v>443</v>
      </c>
      <c r="M119" s="2">
        <v>46198</v>
      </c>
      <c r="N119" s="21" t="s">
        <v>22</v>
      </c>
      <c r="O119" s="21" t="s">
        <v>137</v>
      </c>
      <c r="P119" s="21" t="s">
        <v>137</v>
      </c>
      <c r="Q119" s="2"/>
      <c r="R119" s="21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>MONTH(M119)</f>
        <v>6</v>
      </c>
    </row>
    <row r="120" spans="1:28" x14ac:dyDescent="0.35">
      <c r="A120" s="1">
        <v>1322842</v>
      </c>
      <c r="B120" s="21" t="s">
        <v>132</v>
      </c>
      <c r="C120" s="21" t="s">
        <v>428</v>
      </c>
      <c r="D120" s="21" t="s">
        <v>134</v>
      </c>
      <c r="E120" s="2">
        <v>46182</v>
      </c>
      <c r="F120" s="21" t="s">
        <v>161</v>
      </c>
      <c r="G120" s="21" t="s">
        <v>445</v>
      </c>
      <c r="H120" s="1">
        <v>150</v>
      </c>
      <c r="I120" s="21" t="s">
        <v>446</v>
      </c>
      <c r="J120" s="1">
        <v>91</v>
      </c>
      <c r="K120" s="21" t="s">
        <v>447</v>
      </c>
      <c r="L120" s="1" t="s">
        <v>448</v>
      </c>
      <c r="M120" s="2">
        <v>46198</v>
      </c>
      <c r="N120" s="21" t="s">
        <v>22</v>
      </c>
      <c r="O120" s="21" t="s">
        <v>137</v>
      </c>
      <c r="P120" s="21" t="s">
        <v>137</v>
      </c>
      <c r="Q120" s="2"/>
      <c r="R120" s="21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>MONTH(M120)</f>
        <v>6</v>
      </c>
    </row>
    <row r="121" spans="1:28" x14ac:dyDescent="0.35">
      <c r="A121" s="1">
        <v>885873</v>
      </c>
      <c r="B121" s="21" t="s">
        <v>132</v>
      </c>
      <c r="C121" s="21" t="s">
        <v>428</v>
      </c>
      <c r="D121" s="21" t="s">
        <v>134</v>
      </c>
      <c r="E121" s="2">
        <v>46182</v>
      </c>
      <c r="F121" s="21" t="s">
        <v>149</v>
      </c>
      <c r="G121" s="21" t="s">
        <v>449</v>
      </c>
      <c r="H121" s="1">
        <v>1031</v>
      </c>
      <c r="I121" s="21" t="s">
        <v>450</v>
      </c>
      <c r="J121" s="1">
        <v>117</v>
      </c>
      <c r="K121" s="21" t="s">
        <v>418</v>
      </c>
      <c r="L121" s="1" t="s">
        <v>451</v>
      </c>
      <c r="M121" s="2">
        <v>46198</v>
      </c>
      <c r="N121" s="21" t="s">
        <v>22</v>
      </c>
      <c r="O121" s="21" t="s">
        <v>137</v>
      </c>
      <c r="P121" s="21" t="s">
        <v>137</v>
      </c>
      <c r="Q121" s="2"/>
      <c r="R121" s="21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>MONTH(M121)</f>
        <v>6</v>
      </c>
    </row>
    <row r="122" spans="1:28" x14ac:dyDescent="0.35">
      <c r="A122" s="1">
        <v>1424053</v>
      </c>
      <c r="B122" s="21" t="s">
        <v>132</v>
      </c>
      <c r="C122" s="21" t="s">
        <v>428</v>
      </c>
      <c r="D122" s="21" t="s">
        <v>134</v>
      </c>
      <c r="E122" s="2">
        <v>46182</v>
      </c>
      <c r="F122" s="21" t="s">
        <v>161</v>
      </c>
      <c r="G122" s="21" t="s">
        <v>452</v>
      </c>
      <c r="H122" s="1">
        <v>100</v>
      </c>
      <c r="I122" s="21" t="s">
        <v>446</v>
      </c>
      <c r="J122" s="1">
        <v>1</v>
      </c>
      <c r="K122" s="21" t="s">
        <v>168</v>
      </c>
      <c r="L122" s="1" t="s">
        <v>453</v>
      </c>
      <c r="M122" s="2">
        <v>46198</v>
      </c>
      <c r="N122" s="21" t="s">
        <v>22</v>
      </c>
      <c r="O122" s="21" t="s">
        <v>137</v>
      </c>
      <c r="P122" s="21" t="s">
        <v>137</v>
      </c>
      <c r="Q122" s="2"/>
      <c r="R122" s="21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>MONTH(M122)</f>
        <v>6</v>
      </c>
    </row>
    <row r="123" spans="1:28" x14ac:dyDescent="0.35">
      <c r="A123" s="1">
        <v>1435966</v>
      </c>
      <c r="B123" s="21" t="s">
        <v>132</v>
      </c>
      <c r="C123" s="21" t="s">
        <v>428</v>
      </c>
      <c r="D123" s="21" t="s">
        <v>134</v>
      </c>
      <c r="E123" s="2">
        <v>46182</v>
      </c>
      <c r="F123" s="21" t="s">
        <v>161</v>
      </c>
      <c r="G123" s="21" t="s">
        <v>464</v>
      </c>
      <c r="H123" s="1">
        <v>261</v>
      </c>
      <c r="I123" s="21" t="s">
        <v>437</v>
      </c>
      <c r="J123" s="1">
        <v>77</v>
      </c>
      <c r="K123" s="21" t="s">
        <v>465</v>
      </c>
      <c r="L123" s="1" t="s">
        <v>466</v>
      </c>
      <c r="M123" s="2">
        <v>46198</v>
      </c>
      <c r="N123" s="21" t="s">
        <v>22</v>
      </c>
      <c r="O123" s="21" t="s">
        <v>136</v>
      </c>
      <c r="P123" s="21" t="s">
        <v>137</v>
      </c>
      <c r="Q123" s="2"/>
      <c r="R123" s="21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>MONTH(M123)</f>
        <v>6</v>
      </c>
    </row>
    <row r="124" spans="1:28" x14ac:dyDescent="0.35">
      <c r="A124" s="1">
        <v>1407604</v>
      </c>
      <c r="B124" s="21" t="s">
        <v>132</v>
      </c>
      <c r="C124" s="21" t="s">
        <v>428</v>
      </c>
      <c r="D124" s="21" t="s">
        <v>134</v>
      </c>
      <c r="E124" s="2">
        <v>46189</v>
      </c>
      <c r="F124" s="21" t="s">
        <v>161</v>
      </c>
      <c r="G124" s="21" t="s">
        <v>480</v>
      </c>
      <c r="H124" s="1">
        <v>5017</v>
      </c>
      <c r="I124" s="21" t="s">
        <v>481</v>
      </c>
      <c r="J124" s="1">
        <v>27</v>
      </c>
      <c r="K124" s="21" t="s">
        <v>482</v>
      </c>
      <c r="L124" s="1" t="s">
        <v>483</v>
      </c>
      <c r="M124" s="2">
        <v>46198</v>
      </c>
      <c r="N124" s="21" t="s">
        <v>22</v>
      </c>
      <c r="O124" s="21" t="s">
        <v>136</v>
      </c>
      <c r="P124" s="21" t="s">
        <v>137</v>
      </c>
      <c r="Q124" s="2"/>
      <c r="R124" s="21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>MONTH(M124)</f>
        <v>6</v>
      </c>
    </row>
    <row r="125" spans="1:28" x14ac:dyDescent="0.35">
      <c r="A125" s="1">
        <v>16364</v>
      </c>
      <c r="B125" s="21" t="s">
        <v>132</v>
      </c>
      <c r="C125" s="21" t="s">
        <v>425</v>
      </c>
      <c r="D125" s="21" t="s">
        <v>134</v>
      </c>
      <c r="E125" s="2">
        <v>46192</v>
      </c>
      <c r="F125" s="21" t="s">
        <v>161</v>
      </c>
      <c r="G125" s="21" t="s">
        <v>488</v>
      </c>
      <c r="H125" s="1">
        <v>12</v>
      </c>
      <c r="I125" s="21" t="s">
        <v>446</v>
      </c>
      <c r="J125" s="1">
        <v>23</v>
      </c>
      <c r="K125" s="21" t="s">
        <v>489</v>
      </c>
      <c r="L125" s="1" t="s">
        <v>490</v>
      </c>
      <c r="M125" s="2">
        <v>46198</v>
      </c>
      <c r="N125" s="21" t="s">
        <v>22</v>
      </c>
      <c r="O125" s="21" t="s">
        <v>136</v>
      </c>
      <c r="P125" s="21" t="s">
        <v>137</v>
      </c>
      <c r="Q125" s="2"/>
      <c r="R125" s="21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>MONTH(M125)</f>
        <v>6</v>
      </c>
    </row>
    <row r="126" spans="1:28" x14ac:dyDescent="0.35">
      <c r="A126" s="1">
        <v>1361860</v>
      </c>
      <c r="B126" s="21" t="s">
        <v>132</v>
      </c>
      <c r="C126" s="21" t="s">
        <v>428</v>
      </c>
      <c r="D126" s="21" t="s">
        <v>134</v>
      </c>
      <c r="E126" s="2">
        <v>46195</v>
      </c>
      <c r="F126" s="21" t="s">
        <v>155</v>
      </c>
      <c r="G126" s="21" t="s">
        <v>296</v>
      </c>
      <c r="H126" s="1">
        <v>262</v>
      </c>
      <c r="I126" s="21" t="s">
        <v>458</v>
      </c>
      <c r="J126" s="1">
        <v>35</v>
      </c>
      <c r="K126" s="21" t="s">
        <v>487</v>
      </c>
      <c r="L126" s="1" t="s">
        <v>499</v>
      </c>
      <c r="M126" s="2">
        <v>46202</v>
      </c>
      <c r="N126" s="21" t="s">
        <v>22</v>
      </c>
      <c r="O126" s="21" t="s">
        <v>137</v>
      </c>
      <c r="P126" s="21" t="s">
        <v>137</v>
      </c>
      <c r="Q126" s="2"/>
      <c r="R126" s="21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>MONTH(M126)</f>
        <v>6</v>
      </c>
    </row>
    <row r="127" spans="1:28" x14ac:dyDescent="0.35">
      <c r="A127" s="1">
        <v>1321135</v>
      </c>
      <c r="B127" s="21" t="s">
        <v>132</v>
      </c>
      <c r="C127" s="21" t="s">
        <v>428</v>
      </c>
      <c r="D127" s="21" t="s">
        <v>134</v>
      </c>
      <c r="E127" s="2">
        <v>46195</v>
      </c>
      <c r="F127" s="21" t="s">
        <v>149</v>
      </c>
      <c r="G127" s="21" t="s">
        <v>493</v>
      </c>
      <c r="H127" s="1">
        <v>140</v>
      </c>
      <c r="I127" s="21" t="s">
        <v>254</v>
      </c>
      <c r="J127" s="1">
        <v>37</v>
      </c>
      <c r="K127" s="21" t="s">
        <v>394</v>
      </c>
      <c r="L127" s="1" t="s">
        <v>483</v>
      </c>
      <c r="M127" s="2">
        <v>46205</v>
      </c>
      <c r="N127" s="21" t="s">
        <v>22</v>
      </c>
      <c r="O127" s="21" t="s">
        <v>137</v>
      </c>
      <c r="P127" s="21" t="s">
        <v>137</v>
      </c>
      <c r="Q127" s="2"/>
      <c r="R127" s="21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>MONTH(M127)</f>
        <v>7</v>
      </c>
    </row>
    <row r="128" spans="1:28" x14ac:dyDescent="0.35">
      <c r="A128" s="1">
        <v>1530525</v>
      </c>
      <c r="B128" s="21" t="s">
        <v>132</v>
      </c>
      <c r="C128" s="21" t="s">
        <v>425</v>
      </c>
      <c r="D128" s="21" t="s">
        <v>134</v>
      </c>
      <c r="E128" s="2">
        <v>46195</v>
      </c>
      <c r="F128" s="21" t="s">
        <v>165</v>
      </c>
      <c r="G128" s="21" t="s">
        <v>494</v>
      </c>
      <c r="H128" s="1">
        <v>345</v>
      </c>
      <c r="I128" s="21" t="s">
        <v>495</v>
      </c>
      <c r="J128" s="1">
        <v>11</v>
      </c>
      <c r="K128" s="21" t="s">
        <v>427</v>
      </c>
      <c r="L128" s="1" t="s">
        <v>496</v>
      </c>
      <c r="M128" s="2">
        <v>46205</v>
      </c>
      <c r="N128" s="21" t="s">
        <v>28</v>
      </c>
      <c r="O128" s="21" t="s">
        <v>137</v>
      </c>
      <c r="P128" s="21" t="s">
        <v>137</v>
      </c>
      <c r="Q128" s="2"/>
      <c r="R128" s="21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>MONTH(M128)</f>
        <v>7</v>
      </c>
    </row>
    <row r="129" spans="1:28" x14ac:dyDescent="0.35">
      <c r="A129" s="1">
        <v>1371242</v>
      </c>
      <c r="B129" s="21" t="s">
        <v>132</v>
      </c>
      <c r="C129" s="21" t="s">
        <v>428</v>
      </c>
      <c r="D129" s="21" t="s">
        <v>134</v>
      </c>
      <c r="E129" s="2">
        <v>46196</v>
      </c>
      <c r="F129" s="21" t="s">
        <v>139</v>
      </c>
      <c r="G129" s="21" t="s">
        <v>500</v>
      </c>
      <c r="H129" s="1">
        <v>806</v>
      </c>
      <c r="I129" s="21" t="s">
        <v>417</v>
      </c>
      <c r="J129" s="1">
        <v>33</v>
      </c>
      <c r="K129" s="21" t="s">
        <v>191</v>
      </c>
      <c r="L129" s="1" t="s">
        <v>426</v>
      </c>
      <c r="M129" s="2">
        <v>46205</v>
      </c>
      <c r="N129" s="21" t="s">
        <v>3</v>
      </c>
      <c r="O129" s="21" t="s">
        <v>145</v>
      </c>
      <c r="P129" s="21" t="s">
        <v>137</v>
      </c>
      <c r="Q129" s="2">
        <v>46205</v>
      </c>
      <c r="R129" s="2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>MONTH(M129)</f>
        <v>7</v>
      </c>
    </row>
    <row r="130" spans="1:28" x14ac:dyDescent="0.35">
      <c r="A130" s="1">
        <v>1434085</v>
      </c>
      <c r="B130" s="21" t="s">
        <v>132</v>
      </c>
      <c r="C130" s="21" t="s">
        <v>428</v>
      </c>
      <c r="D130" s="21" t="s">
        <v>134</v>
      </c>
      <c r="E130" s="2">
        <v>46199</v>
      </c>
      <c r="F130" s="21" t="s">
        <v>149</v>
      </c>
      <c r="G130" s="21" t="s">
        <v>502</v>
      </c>
      <c r="H130" s="1">
        <v>115</v>
      </c>
      <c r="I130" s="21" t="s">
        <v>420</v>
      </c>
      <c r="J130" s="1">
        <v>135</v>
      </c>
      <c r="K130" s="21" t="s">
        <v>462</v>
      </c>
      <c r="L130" s="1" t="s">
        <v>430</v>
      </c>
      <c r="M130" s="2">
        <v>46205</v>
      </c>
      <c r="N130" s="21" t="s">
        <v>22</v>
      </c>
      <c r="O130" s="21" t="s">
        <v>137</v>
      </c>
      <c r="P130" s="21" t="s">
        <v>137</v>
      </c>
      <c r="Q130" s="2"/>
      <c r="R130" s="21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>MONTH(M130)</f>
        <v>7</v>
      </c>
    </row>
    <row r="131" spans="1:28" x14ac:dyDescent="0.35">
      <c r="A131" s="1">
        <v>1304770</v>
      </c>
      <c r="B131" s="21" t="s">
        <v>132</v>
      </c>
      <c r="C131" s="21" t="s">
        <v>428</v>
      </c>
      <c r="D131" s="21" t="s">
        <v>134</v>
      </c>
      <c r="E131" s="2">
        <v>46185</v>
      </c>
      <c r="F131" s="21" t="s">
        <v>196</v>
      </c>
      <c r="G131" s="21" t="s">
        <v>476</v>
      </c>
      <c r="H131" s="1">
        <v>627</v>
      </c>
      <c r="I131" s="21" t="s">
        <v>477</v>
      </c>
      <c r="J131" s="1">
        <v>48</v>
      </c>
      <c r="K131" s="21" t="s">
        <v>429</v>
      </c>
      <c r="L131" s="1" t="s">
        <v>478</v>
      </c>
      <c r="M131" s="2">
        <v>46206</v>
      </c>
      <c r="N131" s="21" t="s">
        <v>22</v>
      </c>
      <c r="O131" s="21" t="s">
        <v>137</v>
      </c>
      <c r="P131" s="21" t="s">
        <v>137</v>
      </c>
      <c r="Q131" s="2"/>
      <c r="R131" s="21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>MONTH(M131)</f>
        <v>7</v>
      </c>
    </row>
    <row r="132" spans="1:28" x14ac:dyDescent="0.35">
      <c r="A132" s="1">
        <v>1304770</v>
      </c>
      <c r="B132" s="21" t="s">
        <v>132</v>
      </c>
      <c r="C132" s="21" t="s">
        <v>428</v>
      </c>
      <c r="D132" s="21" t="s">
        <v>134</v>
      </c>
      <c r="E132" s="2">
        <v>46185</v>
      </c>
      <c r="F132" s="21" t="s">
        <v>196</v>
      </c>
      <c r="G132" s="21" t="s">
        <v>476</v>
      </c>
      <c r="H132" s="1">
        <v>627</v>
      </c>
      <c r="I132" s="21" t="s">
        <v>477</v>
      </c>
      <c r="J132" s="1">
        <v>48</v>
      </c>
      <c r="K132" s="21" t="s">
        <v>429</v>
      </c>
      <c r="L132" s="1" t="s">
        <v>478</v>
      </c>
      <c r="M132" s="2">
        <v>46206</v>
      </c>
      <c r="N132" s="21" t="s">
        <v>22</v>
      </c>
      <c r="O132" s="21" t="s">
        <v>137</v>
      </c>
      <c r="P132" s="21" t="s">
        <v>137</v>
      </c>
      <c r="Q132" s="2"/>
      <c r="R132" s="21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>MONTH(M132)</f>
        <v>7</v>
      </c>
    </row>
    <row r="133" spans="1:28" x14ac:dyDescent="0.35">
      <c r="A133" s="1">
        <v>1463660</v>
      </c>
      <c r="B133" s="21" t="s">
        <v>132</v>
      </c>
      <c r="C133" s="21" t="s">
        <v>425</v>
      </c>
      <c r="D133" s="21" t="s">
        <v>134</v>
      </c>
      <c r="E133" s="2">
        <v>46188</v>
      </c>
      <c r="F133" s="21" t="s">
        <v>146</v>
      </c>
      <c r="G133" s="21" t="s">
        <v>349</v>
      </c>
      <c r="H133" s="1">
        <v>165</v>
      </c>
      <c r="I133" s="21" t="s">
        <v>350</v>
      </c>
      <c r="J133" s="1">
        <v>1</v>
      </c>
      <c r="K133" s="21" t="s">
        <v>394</v>
      </c>
      <c r="M133" s="2">
        <v>46206</v>
      </c>
      <c r="N133" s="21" t="s">
        <v>3</v>
      </c>
      <c r="O133" s="21" t="s">
        <v>145</v>
      </c>
      <c r="P133" s="21" t="s">
        <v>137</v>
      </c>
      <c r="Q133" s="2">
        <v>46206</v>
      </c>
      <c r="R133" s="2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>MONTH(M133)</f>
        <v>7</v>
      </c>
    </row>
    <row r="134" spans="1:28" x14ac:dyDescent="0.35">
      <c r="A134" s="1">
        <v>1407609</v>
      </c>
      <c r="B134" s="21" t="s">
        <v>132</v>
      </c>
      <c r="C134" s="21" t="s">
        <v>428</v>
      </c>
      <c r="D134" s="21" t="s">
        <v>134</v>
      </c>
      <c r="E134" s="2">
        <v>46195</v>
      </c>
      <c r="F134" s="21" t="s">
        <v>161</v>
      </c>
      <c r="G134" s="21" t="s">
        <v>497</v>
      </c>
      <c r="H134" s="1">
        <v>29</v>
      </c>
      <c r="I134" s="21" t="s">
        <v>446</v>
      </c>
      <c r="J134" s="1">
        <v>47</v>
      </c>
      <c r="K134" s="21" t="s">
        <v>191</v>
      </c>
      <c r="L134" s="1" t="s">
        <v>498</v>
      </c>
      <c r="M134" s="2">
        <v>46209</v>
      </c>
      <c r="N134" s="21" t="s">
        <v>22</v>
      </c>
      <c r="O134" s="21" t="s">
        <v>137</v>
      </c>
      <c r="P134" s="21" t="s">
        <v>137</v>
      </c>
      <c r="Q134" s="2"/>
      <c r="R134" s="21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>MONTH(M134)</f>
        <v>7</v>
      </c>
    </row>
    <row r="135" spans="1:28" x14ac:dyDescent="0.35">
      <c r="A135" s="1">
        <v>1423924</v>
      </c>
      <c r="B135" s="21" t="s">
        <v>132</v>
      </c>
      <c r="C135" s="21" t="s">
        <v>428</v>
      </c>
      <c r="D135" s="21" t="s">
        <v>134</v>
      </c>
      <c r="E135" s="2">
        <v>46195</v>
      </c>
      <c r="F135" s="21" t="s">
        <v>161</v>
      </c>
      <c r="G135" s="21" t="s">
        <v>383</v>
      </c>
      <c r="H135" s="1">
        <v>1284</v>
      </c>
      <c r="I135" s="21" t="s">
        <v>446</v>
      </c>
      <c r="J135" s="1">
        <v>117</v>
      </c>
      <c r="K135" s="21" t="s">
        <v>167</v>
      </c>
      <c r="M135" s="2">
        <v>46209</v>
      </c>
      <c r="N135" s="21" t="s">
        <v>22</v>
      </c>
      <c r="O135" s="21" t="s">
        <v>136</v>
      </c>
      <c r="P135" s="21" t="s">
        <v>137</v>
      </c>
      <c r="Q135" s="2"/>
      <c r="R135" s="21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>MONTH(M135)</f>
        <v>7</v>
      </c>
    </row>
    <row r="136" spans="1:28" x14ac:dyDescent="0.35">
      <c r="A136" s="1">
        <v>1434197</v>
      </c>
      <c r="B136" s="21" t="s">
        <v>132</v>
      </c>
      <c r="C136" s="21" t="s">
        <v>428</v>
      </c>
      <c r="D136" s="21" t="s">
        <v>134</v>
      </c>
      <c r="E136" s="2">
        <v>46200</v>
      </c>
      <c r="F136" s="21" t="s">
        <v>153</v>
      </c>
      <c r="G136" s="21" t="s">
        <v>503</v>
      </c>
      <c r="H136" s="1">
        <v>94</v>
      </c>
      <c r="I136" s="21" t="s">
        <v>416</v>
      </c>
      <c r="J136" s="1">
        <v>61</v>
      </c>
      <c r="K136" s="21" t="s">
        <v>169</v>
      </c>
      <c r="L136" s="1" t="s">
        <v>504</v>
      </c>
      <c r="M136" s="2">
        <v>46209</v>
      </c>
      <c r="N136" s="21" t="s">
        <v>22</v>
      </c>
      <c r="O136" s="21" t="s">
        <v>137</v>
      </c>
      <c r="P136" s="21" t="s">
        <v>137</v>
      </c>
      <c r="Q136" s="2"/>
      <c r="R136" s="21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>MONTH(M136)</f>
        <v>7</v>
      </c>
    </row>
    <row r="137" spans="1:28" x14ac:dyDescent="0.35">
      <c r="A137" s="1">
        <v>930525</v>
      </c>
      <c r="B137" s="21" t="s">
        <v>132</v>
      </c>
      <c r="C137" s="21" t="s">
        <v>428</v>
      </c>
      <c r="D137" s="21" t="s">
        <v>134</v>
      </c>
      <c r="E137" s="2">
        <v>46211</v>
      </c>
      <c r="F137" s="21" t="s">
        <v>149</v>
      </c>
      <c r="G137" s="21" t="s">
        <v>505</v>
      </c>
      <c r="H137" s="1">
        <v>826</v>
      </c>
      <c r="I137" s="21" t="s">
        <v>420</v>
      </c>
      <c r="J137" s="1">
        <v>135</v>
      </c>
      <c r="K137" s="21" t="s">
        <v>394</v>
      </c>
      <c r="L137" s="1" t="s">
        <v>506</v>
      </c>
      <c r="M137" s="2">
        <v>46223</v>
      </c>
      <c r="N137" s="21" t="s">
        <v>22</v>
      </c>
      <c r="O137" s="21" t="s">
        <v>137</v>
      </c>
      <c r="P137" s="21" t="s">
        <v>137</v>
      </c>
      <c r="Q137" s="2"/>
      <c r="R137" s="21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>MONTH(M137)</f>
        <v>7</v>
      </c>
    </row>
    <row r="138" spans="1:28" x14ac:dyDescent="0.35">
      <c r="A138" s="1">
        <v>1427481</v>
      </c>
      <c r="B138" s="21" t="s">
        <v>132</v>
      </c>
      <c r="C138" s="21" t="s">
        <v>428</v>
      </c>
      <c r="D138" s="21" t="s">
        <v>134</v>
      </c>
      <c r="E138" s="2">
        <v>46212</v>
      </c>
      <c r="F138" s="21" t="s">
        <v>153</v>
      </c>
      <c r="G138" s="21" t="s">
        <v>507</v>
      </c>
      <c r="H138" s="1">
        <v>644</v>
      </c>
      <c r="I138" s="21" t="s">
        <v>508</v>
      </c>
      <c r="J138" s="1">
        <v>53</v>
      </c>
      <c r="K138" s="21" t="s">
        <v>251</v>
      </c>
      <c r="M138" s="2">
        <v>46223</v>
      </c>
      <c r="N138" s="21" t="s">
        <v>22</v>
      </c>
      <c r="O138" s="21" t="s">
        <v>136</v>
      </c>
      <c r="P138" s="21" t="s">
        <v>137</v>
      </c>
      <c r="Q138" s="2"/>
      <c r="R138" s="21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>MONTH(M138)</f>
        <v>7</v>
      </c>
    </row>
    <row r="139" spans="1:28" x14ac:dyDescent="0.35">
      <c r="A139" s="1">
        <v>1421517</v>
      </c>
      <c r="B139" s="21" t="s">
        <v>132</v>
      </c>
      <c r="C139" s="21" t="s">
        <v>428</v>
      </c>
      <c r="D139" s="21" t="s">
        <v>134</v>
      </c>
      <c r="E139" s="2">
        <v>46216</v>
      </c>
      <c r="F139" s="21" t="s">
        <v>139</v>
      </c>
      <c r="G139" s="21" t="s">
        <v>438</v>
      </c>
      <c r="H139" s="1">
        <v>680</v>
      </c>
      <c r="I139" s="21" t="s">
        <v>511</v>
      </c>
      <c r="J139" s="1">
        <v>96</v>
      </c>
      <c r="K139" s="21" t="s">
        <v>290</v>
      </c>
      <c r="L139" s="1" t="s">
        <v>512</v>
      </c>
      <c r="M139" s="2">
        <v>46223</v>
      </c>
      <c r="N139" s="21" t="s">
        <v>3</v>
      </c>
      <c r="O139" s="21" t="s">
        <v>145</v>
      </c>
      <c r="P139" s="21" t="s">
        <v>137</v>
      </c>
      <c r="Q139" s="2">
        <v>46224</v>
      </c>
      <c r="R139" s="2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>MONTH(M139)</f>
        <v>7</v>
      </c>
    </row>
    <row r="140" spans="1:28" x14ac:dyDescent="0.35">
      <c r="A140" s="1">
        <v>849590</v>
      </c>
      <c r="B140" s="21" t="s">
        <v>132</v>
      </c>
      <c r="C140" s="21" t="s">
        <v>428</v>
      </c>
      <c r="D140" s="21" t="s">
        <v>134</v>
      </c>
      <c r="E140" s="2">
        <v>46217</v>
      </c>
      <c r="F140" s="21" t="s">
        <v>139</v>
      </c>
      <c r="G140" s="21" t="s">
        <v>513</v>
      </c>
      <c r="H140" s="1">
        <v>2060</v>
      </c>
      <c r="I140" s="21" t="s">
        <v>514</v>
      </c>
      <c r="J140" s="1">
        <v>78</v>
      </c>
      <c r="K140" s="21" t="s">
        <v>515</v>
      </c>
      <c r="L140" s="1" t="s">
        <v>516</v>
      </c>
      <c r="M140" s="2">
        <v>46223</v>
      </c>
      <c r="N140" s="21" t="s">
        <v>3</v>
      </c>
      <c r="O140" s="21" t="s">
        <v>145</v>
      </c>
      <c r="P140" s="21" t="s">
        <v>137</v>
      </c>
      <c r="Q140" s="2">
        <v>46224</v>
      </c>
      <c r="R140" s="2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>MONTH(M140)</f>
        <v>7</v>
      </c>
    </row>
    <row r="141" spans="1:28" x14ac:dyDescent="0.35">
      <c r="A141" s="1">
        <v>1216169</v>
      </c>
      <c r="B141" s="21" t="s">
        <v>132</v>
      </c>
      <c r="C141" s="21" t="s">
        <v>428</v>
      </c>
      <c r="D141" s="21" t="s">
        <v>134</v>
      </c>
      <c r="E141" s="2">
        <v>46220</v>
      </c>
      <c r="F141" s="21" t="s">
        <v>135</v>
      </c>
      <c r="G141" s="21" t="s">
        <v>520</v>
      </c>
      <c r="H141" s="1">
        <v>238</v>
      </c>
      <c r="I141" s="21" t="s">
        <v>346</v>
      </c>
      <c r="J141" s="1">
        <v>58</v>
      </c>
      <c r="K141" s="21" t="s">
        <v>181</v>
      </c>
      <c r="L141" s="1" t="s">
        <v>432</v>
      </c>
      <c r="M141" s="2">
        <v>46223</v>
      </c>
      <c r="N141" s="21" t="s">
        <v>22</v>
      </c>
      <c r="O141" s="21" t="s">
        <v>136</v>
      </c>
      <c r="P141" s="21" t="s">
        <v>137</v>
      </c>
      <c r="Q141" s="2"/>
      <c r="R141" s="21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>MONTH(M141)</f>
        <v>7</v>
      </c>
    </row>
    <row r="142" spans="1:28" x14ac:dyDescent="0.35">
      <c r="A142" s="1">
        <v>1421513</v>
      </c>
      <c r="B142" s="21" t="s">
        <v>132</v>
      </c>
      <c r="C142" s="21" t="s">
        <v>428</v>
      </c>
      <c r="D142" s="21" t="s">
        <v>134</v>
      </c>
      <c r="E142" s="2">
        <v>46217</v>
      </c>
      <c r="F142" s="21" t="s">
        <v>139</v>
      </c>
      <c r="G142" s="21" t="s">
        <v>517</v>
      </c>
      <c r="H142" s="1">
        <v>988</v>
      </c>
      <c r="I142" s="21" t="s">
        <v>347</v>
      </c>
      <c r="J142" s="1">
        <v>84</v>
      </c>
      <c r="K142" s="21" t="s">
        <v>518</v>
      </c>
      <c r="L142" s="1" t="s">
        <v>519</v>
      </c>
      <c r="M142" s="2">
        <v>46227</v>
      </c>
      <c r="N142" s="21" t="s">
        <v>3</v>
      </c>
      <c r="O142" s="21" t="s">
        <v>145</v>
      </c>
      <c r="P142" s="21" t="s">
        <v>137</v>
      </c>
      <c r="Q142" s="2">
        <v>46227</v>
      </c>
      <c r="R142" s="2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>MONTH(M142)</f>
        <v>7</v>
      </c>
    </row>
    <row r="143" spans="1:28" x14ac:dyDescent="0.35">
      <c r="A143" s="1">
        <v>1426394</v>
      </c>
      <c r="B143" s="21" t="s">
        <v>132</v>
      </c>
      <c r="C143" s="21" t="s">
        <v>428</v>
      </c>
      <c r="D143" s="21" t="s">
        <v>134</v>
      </c>
      <c r="E143" s="2">
        <v>46216</v>
      </c>
      <c r="F143" s="21" t="s">
        <v>135</v>
      </c>
      <c r="G143" s="21" t="s">
        <v>509</v>
      </c>
      <c r="H143" s="1">
        <v>363</v>
      </c>
      <c r="I143" s="21" t="s">
        <v>249</v>
      </c>
      <c r="J143" s="1">
        <v>134</v>
      </c>
      <c r="K143" s="21" t="s">
        <v>142</v>
      </c>
      <c r="L143" s="1" t="s">
        <v>510</v>
      </c>
      <c r="M143" s="2">
        <v>46230</v>
      </c>
      <c r="N143" s="21" t="s">
        <v>22</v>
      </c>
      <c r="O143" s="21" t="s">
        <v>145</v>
      </c>
      <c r="P143" s="21" t="s">
        <v>137</v>
      </c>
      <c r="Q143" s="2">
        <v>46230</v>
      </c>
      <c r="R143" s="2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>MONTH(M143)</f>
        <v>7</v>
      </c>
    </row>
    <row r="144" spans="1:28" x14ac:dyDescent="0.35">
      <c r="A144" s="1">
        <v>1156565</v>
      </c>
      <c r="B144" s="21" t="s">
        <v>132</v>
      </c>
      <c r="C144" s="21" t="s">
        <v>428</v>
      </c>
      <c r="D144" s="21" t="s">
        <v>134</v>
      </c>
      <c r="E144" s="2">
        <v>46227</v>
      </c>
      <c r="F144" s="21" t="s">
        <v>139</v>
      </c>
      <c r="G144" s="21" t="s">
        <v>216</v>
      </c>
      <c r="H144" s="1">
        <v>1230</v>
      </c>
      <c r="I144" s="21" t="s">
        <v>514</v>
      </c>
      <c r="J144" s="1">
        <v>51</v>
      </c>
      <c r="K144" s="21" t="s">
        <v>367</v>
      </c>
      <c r="L144" s="1" t="s">
        <v>325</v>
      </c>
      <c r="M144" s="2">
        <v>46232</v>
      </c>
      <c r="N144" s="21" t="s">
        <v>3</v>
      </c>
      <c r="O144" s="21" t="s">
        <v>145</v>
      </c>
      <c r="P144" s="21" t="s">
        <v>137</v>
      </c>
      <c r="Q144" s="2">
        <v>46233</v>
      </c>
      <c r="R144" s="2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>MONTH(M144)</f>
        <v>7</v>
      </c>
    </row>
    <row r="145" spans="1:28" x14ac:dyDescent="0.35">
      <c r="A145" s="1">
        <v>736695</v>
      </c>
      <c r="B145" s="21" t="s">
        <v>132</v>
      </c>
      <c r="C145" s="21" t="s">
        <v>428</v>
      </c>
      <c r="D145" s="21" t="s">
        <v>134</v>
      </c>
      <c r="E145" s="2">
        <v>46223</v>
      </c>
      <c r="F145" s="21" t="s">
        <v>153</v>
      </c>
      <c r="G145" s="21" t="s">
        <v>521</v>
      </c>
      <c r="H145" s="1">
        <v>125</v>
      </c>
      <c r="I145" s="21" t="s">
        <v>416</v>
      </c>
      <c r="J145" s="1">
        <v>139</v>
      </c>
      <c r="K145" s="21" t="s">
        <v>169</v>
      </c>
      <c r="L145" s="1" t="s">
        <v>522</v>
      </c>
      <c r="M145" s="2">
        <v>46233</v>
      </c>
      <c r="N145" s="21" t="s">
        <v>22</v>
      </c>
      <c r="O145" s="21" t="s">
        <v>137</v>
      </c>
      <c r="P145" s="21" t="s">
        <v>137</v>
      </c>
      <c r="Q145" s="2"/>
      <c r="R145" s="21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>MONTH(M145)</f>
        <v>7</v>
      </c>
    </row>
    <row r="146" spans="1:28" x14ac:dyDescent="0.35">
      <c r="A146" s="1">
        <v>1533168</v>
      </c>
      <c r="B146" s="21" t="s">
        <v>132</v>
      </c>
      <c r="C146" s="21" t="s">
        <v>428</v>
      </c>
      <c r="D146" s="21" t="s">
        <v>134</v>
      </c>
      <c r="E146" s="2">
        <v>46224</v>
      </c>
      <c r="F146" s="21" t="s">
        <v>149</v>
      </c>
      <c r="G146" s="21" t="s">
        <v>523</v>
      </c>
      <c r="H146" s="1">
        <v>1608</v>
      </c>
      <c r="I146" s="21" t="s">
        <v>524</v>
      </c>
      <c r="J146" s="1">
        <v>63</v>
      </c>
      <c r="K146" s="21" t="s">
        <v>142</v>
      </c>
      <c r="L146" s="1" t="s">
        <v>320</v>
      </c>
      <c r="M146" s="2">
        <v>46233</v>
      </c>
      <c r="N146" s="21" t="s">
        <v>22</v>
      </c>
      <c r="O146" s="21" t="s">
        <v>136</v>
      </c>
      <c r="P146" s="21" t="s">
        <v>137</v>
      </c>
      <c r="Q146" s="2"/>
      <c r="R146" s="21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>MONTH(M146)</f>
        <v>7</v>
      </c>
    </row>
    <row r="147" spans="1:28" x14ac:dyDescent="0.35">
      <c r="A147" s="1">
        <v>1425431</v>
      </c>
      <c r="B147" s="21" t="s">
        <v>132</v>
      </c>
      <c r="C147" s="21" t="s">
        <v>428</v>
      </c>
      <c r="D147" s="21" t="s">
        <v>134</v>
      </c>
      <c r="E147" s="2">
        <v>46224</v>
      </c>
      <c r="F147" s="21" t="s">
        <v>149</v>
      </c>
      <c r="G147" s="21" t="s">
        <v>527</v>
      </c>
      <c r="H147" s="1">
        <v>2976</v>
      </c>
      <c r="I147" s="21" t="s">
        <v>254</v>
      </c>
      <c r="J147" s="1">
        <v>1</v>
      </c>
      <c r="K147" s="21" t="s">
        <v>251</v>
      </c>
      <c r="L147" s="1" t="s">
        <v>324</v>
      </c>
      <c r="M147" s="2">
        <v>46233</v>
      </c>
      <c r="N147" s="21" t="s">
        <v>22</v>
      </c>
      <c r="O147" s="21" t="s">
        <v>136</v>
      </c>
      <c r="P147" s="21" t="s">
        <v>137</v>
      </c>
      <c r="Q147" s="2"/>
      <c r="R147" s="21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>MONTH(M147)</f>
        <v>7</v>
      </c>
    </row>
    <row r="148" spans="1:28" x14ac:dyDescent="0.35">
      <c r="A148" s="1">
        <v>851597</v>
      </c>
      <c r="B148" s="21" t="s">
        <v>132</v>
      </c>
      <c r="C148" s="21" t="s">
        <v>428</v>
      </c>
      <c r="D148" s="21" t="s">
        <v>134</v>
      </c>
      <c r="E148" s="2">
        <v>46224</v>
      </c>
      <c r="F148" s="21" t="s">
        <v>135</v>
      </c>
      <c r="G148" s="21" t="s">
        <v>525</v>
      </c>
      <c r="H148" s="1">
        <v>205</v>
      </c>
      <c r="I148" s="21" t="s">
        <v>469</v>
      </c>
      <c r="J148" s="1">
        <v>76</v>
      </c>
      <c r="K148" s="21" t="s">
        <v>142</v>
      </c>
      <c r="L148" s="1" t="s">
        <v>526</v>
      </c>
      <c r="M148" s="2">
        <v>46234</v>
      </c>
      <c r="N148" s="21" t="s">
        <v>21</v>
      </c>
      <c r="O148" s="21" t="s">
        <v>137</v>
      </c>
      <c r="P148" s="21" t="s">
        <v>137</v>
      </c>
      <c r="Q148" s="2"/>
      <c r="R148" s="21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>MONTH(M148)</f>
        <v>7</v>
      </c>
    </row>
    <row r="149" spans="1:28" x14ac:dyDescent="0.35">
      <c r="A149" s="1">
        <v>1214411</v>
      </c>
      <c r="B149" s="21" t="s">
        <v>132</v>
      </c>
      <c r="C149" s="21" t="s">
        <v>428</v>
      </c>
      <c r="D149" s="21" t="s">
        <v>134</v>
      </c>
      <c r="E149" s="2">
        <v>46237</v>
      </c>
      <c r="F149" s="21" t="s">
        <v>135</v>
      </c>
      <c r="G149" s="21" t="s">
        <v>532</v>
      </c>
      <c r="H149" s="1">
        <v>189</v>
      </c>
      <c r="I149" s="21" t="s">
        <v>533</v>
      </c>
      <c r="J149" s="1">
        <v>30</v>
      </c>
      <c r="K149" s="21" t="s">
        <v>169</v>
      </c>
      <c r="L149" s="1" t="s">
        <v>324</v>
      </c>
      <c r="M149" s="2">
        <v>46247</v>
      </c>
      <c r="N149" s="21" t="s">
        <v>22</v>
      </c>
      <c r="O149" s="21" t="s">
        <v>137</v>
      </c>
      <c r="P149" s="21" t="s">
        <v>137</v>
      </c>
      <c r="Q149" s="2"/>
      <c r="R149" s="21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>MONTH(M149)</f>
        <v>8</v>
      </c>
    </row>
    <row r="150" spans="1:28" x14ac:dyDescent="0.35">
      <c r="A150" s="1">
        <v>1174925</v>
      </c>
      <c r="B150" s="21" t="s">
        <v>132</v>
      </c>
      <c r="C150" s="21" t="s">
        <v>428</v>
      </c>
      <c r="D150" s="21" t="s">
        <v>134</v>
      </c>
      <c r="E150" s="2">
        <v>46241</v>
      </c>
      <c r="F150" s="21" t="s">
        <v>139</v>
      </c>
      <c r="G150" s="21" t="s">
        <v>540</v>
      </c>
      <c r="H150" s="1">
        <v>1067</v>
      </c>
      <c r="I150" s="21" t="s">
        <v>541</v>
      </c>
      <c r="J150" s="1">
        <v>46</v>
      </c>
      <c r="K150" s="21" t="s">
        <v>191</v>
      </c>
      <c r="L150" s="1" t="s">
        <v>325</v>
      </c>
      <c r="M150" s="2">
        <v>46248</v>
      </c>
      <c r="N150" s="21" t="s">
        <v>19</v>
      </c>
      <c r="O150" s="21" t="s">
        <v>136</v>
      </c>
      <c r="P150" s="21" t="s">
        <v>137</v>
      </c>
      <c r="Q150" s="2"/>
      <c r="R150" s="21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>MONTH(M150)</f>
        <v>8</v>
      </c>
    </row>
    <row r="151" spans="1:28" x14ac:dyDescent="0.35">
      <c r="A151" s="1">
        <v>1421481</v>
      </c>
      <c r="B151" s="21" t="s">
        <v>132</v>
      </c>
      <c r="C151" s="21" t="s">
        <v>428</v>
      </c>
      <c r="D151" s="21" t="s">
        <v>134</v>
      </c>
      <c r="E151" s="2">
        <v>46241</v>
      </c>
      <c r="F151" s="21" t="s">
        <v>139</v>
      </c>
      <c r="G151" s="21" t="s">
        <v>542</v>
      </c>
      <c r="H151" s="1">
        <v>717</v>
      </c>
      <c r="I151" s="21" t="s">
        <v>261</v>
      </c>
      <c r="J151" s="1">
        <v>64</v>
      </c>
      <c r="K151" s="21" t="s">
        <v>144</v>
      </c>
      <c r="M151" s="2">
        <v>46248</v>
      </c>
      <c r="N151" s="21" t="s">
        <v>9</v>
      </c>
      <c r="O151" s="21" t="s">
        <v>136</v>
      </c>
      <c r="P151" s="21" t="s">
        <v>137</v>
      </c>
      <c r="Q151" s="2"/>
      <c r="R151" s="21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>MONTH(M151)</f>
        <v>8</v>
      </c>
    </row>
    <row r="152" spans="1:28" x14ac:dyDescent="0.35">
      <c r="A152" s="1">
        <v>1533793</v>
      </c>
      <c r="B152" s="21" t="s">
        <v>132</v>
      </c>
      <c r="C152" s="21" t="s">
        <v>428</v>
      </c>
      <c r="D152" s="21" t="s">
        <v>134</v>
      </c>
      <c r="E152" s="2">
        <v>46240</v>
      </c>
      <c r="F152" s="21" t="s">
        <v>161</v>
      </c>
      <c r="G152" s="21" t="s">
        <v>537</v>
      </c>
      <c r="H152" s="1">
        <v>1590</v>
      </c>
      <c r="I152" s="21" t="s">
        <v>538</v>
      </c>
      <c r="J152" s="1">
        <v>67</v>
      </c>
      <c r="K152" s="21" t="s">
        <v>518</v>
      </c>
      <c r="L152" s="1" t="s">
        <v>539</v>
      </c>
      <c r="M152" s="2">
        <v>46252</v>
      </c>
      <c r="N152" s="21" t="s">
        <v>19</v>
      </c>
      <c r="O152" s="21" t="s">
        <v>137</v>
      </c>
      <c r="P152" s="21" t="s">
        <v>137</v>
      </c>
      <c r="Q152" s="2"/>
      <c r="R152" s="21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>MONTH(M152)</f>
        <v>8</v>
      </c>
    </row>
    <row r="153" spans="1:28" x14ac:dyDescent="0.35">
      <c r="A153" s="1">
        <v>70403</v>
      </c>
      <c r="B153" s="21" t="s">
        <v>132</v>
      </c>
      <c r="C153" s="21" t="s">
        <v>428</v>
      </c>
      <c r="D153" s="21" t="s">
        <v>134</v>
      </c>
      <c r="E153" s="2">
        <v>46238</v>
      </c>
      <c r="F153" s="21" t="s">
        <v>149</v>
      </c>
      <c r="G153" s="21" t="s">
        <v>194</v>
      </c>
      <c r="H153" s="1">
        <v>200</v>
      </c>
      <c r="I153" s="21" t="s">
        <v>534</v>
      </c>
      <c r="J153" s="1">
        <v>67</v>
      </c>
      <c r="K153" s="21" t="s">
        <v>535</v>
      </c>
      <c r="M153" s="2">
        <v>46254</v>
      </c>
      <c r="N153" s="21" t="s">
        <v>22</v>
      </c>
      <c r="O153" s="21" t="s">
        <v>137</v>
      </c>
      <c r="P153" s="21" t="s">
        <v>137</v>
      </c>
      <c r="Q153" s="2"/>
      <c r="R153" s="21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>MONTH(M153)</f>
        <v>8</v>
      </c>
    </row>
    <row r="154" spans="1:28" x14ac:dyDescent="0.35">
      <c r="A154" s="1">
        <v>1535653</v>
      </c>
      <c r="B154" s="21" t="s">
        <v>132</v>
      </c>
      <c r="C154" s="21" t="s">
        <v>428</v>
      </c>
      <c r="D154" s="21" t="s">
        <v>134</v>
      </c>
      <c r="E154" s="2">
        <v>46238</v>
      </c>
      <c r="F154" s="21" t="s">
        <v>149</v>
      </c>
      <c r="G154" s="21" t="s">
        <v>202</v>
      </c>
      <c r="H154" s="1">
        <v>208</v>
      </c>
      <c r="I154" s="21" t="s">
        <v>420</v>
      </c>
      <c r="J154" s="1">
        <v>35</v>
      </c>
      <c r="K154" s="21" t="s">
        <v>394</v>
      </c>
      <c r="L154" s="1" t="s">
        <v>536</v>
      </c>
      <c r="M154" s="2">
        <v>46254</v>
      </c>
      <c r="N154" s="21" t="s">
        <v>22</v>
      </c>
      <c r="O154" s="21" t="s">
        <v>136</v>
      </c>
      <c r="P154" s="21" t="s">
        <v>137</v>
      </c>
      <c r="Q154" s="2"/>
      <c r="R154" s="21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>MONTH(M154)</f>
        <v>8</v>
      </c>
    </row>
    <row r="155" spans="1:28" x14ac:dyDescent="0.35">
      <c r="A155" s="1">
        <v>1373976</v>
      </c>
      <c r="B155" s="21" t="s">
        <v>132</v>
      </c>
      <c r="C155" s="21" t="s">
        <v>428</v>
      </c>
      <c r="D155" s="21" t="s">
        <v>134</v>
      </c>
      <c r="E155" s="2">
        <v>46241</v>
      </c>
      <c r="F155" s="21" t="s">
        <v>149</v>
      </c>
      <c r="G155" s="21" t="s">
        <v>543</v>
      </c>
      <c r="H155" s="1">
        <v>320</v>
      </c>
      <c r="I155" s="21" t="s">
        <v>534</v>
      </c>
      <c r="J155" s="1">
        <v>25</v>
      </c>
      <c r="K155" s="21" t="s">
        <v>229</v>
      </c>
      <c r="M155" s="2">
        <v>46254</v>
      </c>
      <c r="N155" s="21" t="s">
        <v>3</v>
      </c>
      <c r="O155" s="21" t="s">
        <v>137</v>
      </c>
      <c r="P155" s="21" t="s">
        <v>137</v>
      </c>
      <c r="Q155" s="2"/>
      <c r="R155" s="2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>MONTH(M155)</f>
        <v>8</v>
      </c>
    </row>
    <row r="156" spans="1:28" x14ac:dyDescent="0.35">
      <c r="A156" s="1">
        <v>1587932</v>
      </c>
      <c r="B156" s="21" t="s">
        <v>132</v>
      </c>
      <c r="C156" s="21" t="s">
        <v>428</v>
      </c>
      <c r="D156" s="21" t="s">
        <v>134</v>
      </c>
      <c r="E156" s="2">
        <v>46248</v>
      </c>
      <c r="F156" s="21" t="s">
        <v>165</v>
      </c>
      <c r="G156" s="21" t="s">
        <v>175</v>
      </c>
      <c r="H156" s="1">
        <v>2958</v>
      </c>
      <c r="I156" s="21" t="s">
        <v>545</v>
      </c>
      <c r="J156" s="1">
        <v>34</v>
      </c>
      <c r="K156" s="21" t="s">
        <v>367</v>
      </c>
      <c r="L156" s="1" t="s">
        <v>546</v>
      </c>
      <c r="M156" s="2">
        <v>46266</v>
      </c>
      <c r="N156" s="21" t="s">
        <v>5</v>
      </c>
      <c r="O156" s="21" t="s">
        <v>137</v>
      </c>
      <c r="P156" s="21" t="s">
        <v>137</v>
      </c>
      <c r="Q156" s="2"/>
      <c r="R156" s="21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>MONTH(M156)</f>
        <v>9</v>
      </c>
    </row>
    <row r="157" spans="1:28" x14ac:dyDescent="0.35">
      <c r="A157" s="1">
        <v>1587387</v>
      </c>
      <c r="B157" s="21" t="s">
        <v>132</v>
      </c>
      <c r="C157" s="21" t="s">
        <v>428</v>
      </c>
      <c r="D157" s="21" t="s">
        <v>134</v>
      </c>
      <c r="E157" s="2">
        <v>46252</v>
      </c>
      <c r="F157" s="21" t="s">
        <v>146</v>
      </c>
      <c r="G157" s="21" t="s">
        <v>559</v>
      </c>
      <c r="H157" s="1">
        <v>150</v>
      </c>
      <c r="I157" s="21" t="s">
        <v>560</v>
      </c>
      <c r="J157" s="1">
        <v>19</v>
      </c>
      <c r="K157" s="21" t="s">
        <v>501</v>
      </c>
      <c r="L157" s="1" t="s">
        <v>561</v>
      </c>
      <c r="M157" s="2">
        <v>46266</v>
      </c>
      <c r="N157" s="21" t="s">
        <v>22</v>
      </c>
      <c r="O157" s="21" t="s">
        <v>136</v>
      </c>
      <c r="P157" s="21" t="s">
        <v>137</v>
      </c>
      <c r="Q157" s="2"/>
      <c r="R157" s="21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>MONTH(M157)</f>
        <v>9</v>
      </c>
    </row>
    <row r="158" spans="1:28" x14ac:dyDescent="0.35">
      <c r="A158" s="1">
        <v>1526603</v>
      </c>
      <c r="B158" s="21" t="s">
        <v>132</v>
      </c>
      <c r="C158" s="21" t="s">
        <v>428</v>
      </c>
      <c r="D158" s="21" t="s">
        <v>134</v>
      </c>
      <c r="E158" s="2">
        <v>46248</v>
      </c>
      <c r="F158" s="21" t="s">
        <v>139</v>
      </c>
      <c r="G158" s="21" t="s">
        <v>271</v>
      </c>
      <c r="H158" s="1">
        <v>1436</v>
      </c>
      <c r="I158" s="21" t="s">
        <v>544</v>
      </c>
      <c r="J158" s="1">
        <v>56</v>
      </c>
      <c r="K158" s="21" t="s">
        <v>191</v>
      </c>
      <c r="L158" s="1" t="s">
        <v>426</v>
      </c>
      <c r="M158" s="2">
        <v>46267</v>
      </c>
      <c r="N158" s="21" t="s">
        <v>3</v>
      </c>
      <c r="O158" s="21" t="s">
        <v>145</v>
      </c>
      <c r="P158" s="21" t="s">
        <v>137</v>
      </c>
      <c r="Q158" s="2">
        <v>46267</v>
      </c>
      <c r="R158" s="21" t="s">
        <v>124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>MONTH(M158)</f>
        <v>9</v>
      </c>
    </row>
    <row r="159" spans="1:28" x14ac:dyDescent="0.35">
      <c r="A159" s="1">
        <v>1426273</v>
      </c>
      <c r="B159" s="21" t="s">
        <v>132</v>
      </c>
      <c r="C159" s="21" t="s">
        <v>428</v>
      </c>
      <c r="D159" s="21" t="s">
        <v>134</v>
      </c>
      <c r="E159" s="2">
        <v>46254</v>
      </c>
      <c r="F159" s="21" t="s">
        <v>149</v>
      </c>
      <c r="G159" s="21" t="s">
        <v>563</v>
      </c>
      <c r="H159" s="1">
        <v>368</v>
      </c>
      <c r="I159" s="21" t="s">
        <v>564</v>
      </c>
      <c r="J159" s="1">
        <v>19</v>
      </c>
      <c r="K159" s="21" t="s">
        <v>565</v>
      </c>
      <c r="L159" s="1" t="s">
        <v>566</v>
      </c>
      <c r="M159" s="2">
        <v>46267</v>
      </c>
      <c r="N159" s="21" t="s">
        <v>19</v>
      </c>
      <c r="O159" s="21" t="s">
        <v>145</v>
      </c>
      <c r="P159" s="21" t="s">
        <v>137</v>
      </c>
      <c r="Q159" s="2">
        <v>46267</v>
      </c>
      <c r="R159" s="2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>MONTH(M159)</f>
        <v>9</v>
      </c>
    </row>
    <row r="160" spans="1:28" x14ac:dyDescent="0.35">
      <c r="A160" s="1">
        <v>1423150</v>
      </c>
      <c r="B160" s="21" t="s">
        <v>132</v>
      </c>
      <c r="C160" s="21" t="s">
        <v>428</v>
      </c>
      <c r="D160" s="21" t="s">
        <v>134</v>
      </c>
      <c r="E160" s="2">
        <v>46254</v>
      </c>
      <c r="F160" s="21" t="s">
        <v>149</v>
      </c>
      <c r="G160" s="21" t="s">
        <v>567</v>
      </c>
      <c r="H160" s="1">
        <v>487</v>
      </c>
      <c r="I160" s="21" t="s">
        <v>254</v>
      </c>
      <c r="J160" s="1">
        <v>65</v>
      </c>
      <c r="K160" s="21" t="s">
        <v>568</v>
      </c>
      <c r="M160" s="2">
        <v>46267</v>
      </c>
      <c r="N160" s="21" t="s">
        <v>19</v>
      </c>
      <c r="O160" s="21" t="s">
        <v>136</v>
      </c>
      <c r="P160" s="21" t="s">
        <v>137</v>
      </c>
      <c r="Q160" s="2"/>
      <c r="R160" s="21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>MONTH(M160)</f>
        <v>9</v>
      </c>
    </row>
    <row r="161" spans="1:28" x14ac:dyDescent="0.35">
      <c r="A161" s="1">
        <v>43193</v>
      </c>
      <c r="B161" s="21" t="s">
        <v>132</v>
      </c>
      <c r="C161" s="21" t="s">
        <v>428</v>
      </c>
      <c r="D161" s="21" t="s">
        <v>134</v>
      </c>
      <c r="E161" s="2">
        <v>46261</v>
      </c>
      <c r="F161" s="21" t="s">
        <v>165</v>
      </c>
      <c r="G161" s="21" t="s">
        <v>593</v>
      </c>
      <c r="H161" s="1">
        <v>2455</v>
      </c>
      <c r="I161" s="21" t="s">
        <v>594</v>
      </c>
      <c r="J161" s="1">
        <v>3</v>
      </c>
      <c r="K161" s="21" t="s">
        <v>167</v>
      </c>
      <c r="L161" s="1" t="s">
        <v>348</v>
      </c>
      <c r="M161" s="2">
        <v>46267</v>
      </c>
      <c r="N161" s="21" t="s">
        <v>24</v>
      </c>
      <c r="O161" s="21" t="s">
        <v>145</v>
      </c>
      <c r="P161" s="21" t="s">
        <v>137</v>
      </c>
      <c r="Q161" s="2">
        <v>46267</v>
      </c>
      <c r="R161" s="2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>MONTH(M161)</f>
        <v>9</v>
      </c>
    </row>
    <row r="162" spans="1:28" x14ac:dyDescent="0.35">
      <c r="A162" s="1">
        <v>1423273</v>
      </c>
      <c r="B162" s="21" t="s">
        <v>132</v>
      </c>
      <c r="C162" s="21" t="s">
        <v>428</v>
      </c>
      <c r="D162" s="21" t="s">
        <v>134</v>
      </c>
      <c r="E162" s="2">
        <v>46253</v>
      </c>
      <c r="F162" s="21" t="s">
        <v>139</v>
      </c>
      <c r="G162" s="21" t="s">
        <v>436</v>
      </c>
      <c r="H162" s="1">
        <v>910</v>
      </c>
      <c r="I162" s="21" t="s">
        <v>562</v>
      </c>
      <c r="J162" s="1">
        <v>127</v>
      </c>
      <c r="K162" s="21" t="s">
        <v>142</v>
      </c>
      <c r="L162" s="1" t="s">
        <v>431</v>
      </c>
      <c r="M162" s="2">
        <v>46268</v>
      </c>
      <c r="N162" s="21" t="s">
        <v>3</v>
      </c>
      <c r="O162" s="21" t="s">
        <v>136</v>
      </c>
      <c r="P162" s="21" t="s">
        <v>137</v>
      </c>
      <c r="Q162" s="2"/>
      <c r="R162" s="21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>MONTH(M162)</f>
        <v>9</v>
      </c>
    </row>
    <row r="163" spans="1:28" x14ac:dyDescent="0.35">
      <c r="A163" s="1">
        <v>1593745</v>
      </c>
      <c r="B163" s="21" t="s">
        <v>132</v>
      </c>
      <c r="C163" s="21" t="s">
        <v>428</v>
      </c>
      <c r="D163" s="21" t="s">
        <v>134</v>
      </c>
      <c r="E163" s="2">
        <v>46251</v>
      </c>
      <c r="F163" s="21" t="s">
        <v>139</v>
      </c>
      <c r="G163" s="21" t="s">
        <v>550</v>
      </c>
      <c r="H163" s="1">
        <v>432</v>
      </c>
      <c r="I163" s="21" t="s">
        <v>551</v>
      </c>
      <c r="J163" s="1">
        <v>61</v>
      </c>
      <c r="K163" s="21" t="s">
        <v>552</v>
      </c>
      <c r="M163" s="2">
        <v>46269</v>
      </c>
      <c r="N163" s="21" t="s">
        <v>3</v>
      </c>
      <c r="O163" s="21" t="s">
        <v>137</v>
      </c>
      <c r="P163" s="21" t="s">
        <v>137</v>
      </c>
      <c r="Q163" s="2"/>
      <c r="R163" s="21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>MONTH(M163)</f>
        <v>9</v>
      </c>
    </row>
    <row r="164" spans="1:28" x14ac:dyDescent="0.35">
      <c r="A164" s="1">
        <v>1580716</v>
      </c>
      <c r="B164" s="21" t="s">
        <v>132</v>
      </c>
      <c r="C164" s="21" t="s">
        <v>428</v>
      </c>
      <c r="D164" s="21" t="s">
        <v>134</v>
      </c>
      <c r="E164" s="2">
        <v>46262</v>
      </c>
      <c r="F164" s="21" t="s">
        <v>139</v>
      </c>
      <c r="G164" s="21" t="s">
        <v>595</v>
      </c>
      <c r="H164" s="1">
        <v>1351</v>
      </c>
      <c r="I164" s="21" t="s">
        <v>596</v>
      </c>
      <c r="J164" s="1">
        <v>53</v>
      </c>
      <c r="K164" s="21" t="s">
        <v>251</v>
      </c>
      <c r="L164" s="1" t="s">
        <v>435</v>
      </c>
      <c r="M164" s="2">
        <v>46269</v>
      </c>
      <c r="N164" s="21" t="s">
        <v>9</v>
      </c>
      <c r="O164" s="21" t="s">
        <v>137</v>
      </c>
      <c r="P164" s="21" t="s">
        <v>137</v>
      </c>
      <c r="Q164" s="2"/>
      <c r="R164" s="21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>MONTH(M164)</f>
        <v>9</v>
      </c>
    </row>
    <row r="165" spans="1:28" x14ac:dyDescent="0.35">
      <c r="A165" s="1">
        <v>1595968</v>
      </c>
      <c r="B165" s="21" t="s">
        <v>132</v>
      </c>
      <c r="C165" s="21" t="s">
        <v>428</v>
      </c>
      <c r="D165" s="21" t="s">
        <v>134</v>
      </c>
      <c r="E165" s="2">
        <v>46262</v>
      </c>
      <c r="F165" s="21" t="s">
        <v>139</v>
      </c>
      <c r="G165" s="21" t="s">
        <v>227</v>
      </c>
      <c r="H165" s="1">
        <v>428</v>
      </c>
      <c r="I165" s="21" t="s">
        <v>601</v>
      </c>
      <c r="J165" s="1">
        <v>38</v>
      </c>
      <c r="K165" s="21" t="s">
        <v>170</v>
      </c>
      <c r="L165" s="1" t="s">
        <v>435</v>
      </c>
      <c r="M165" s="2">
        <v>46269</v>
      </c>
      <c r="N165" s="21" t="s">
        <v>3</v>
      </c>
      <c r="O165" s="21" t="s">
        <v>136</v>
      </c>
      <c r="P165" s="21" t="s">
        <v>137</v>
      </c>
      <c r="Q165" s="2"/>
      <c r="R165" s="21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>MONTH(M165)</f>
        <v>9</v>
      </c>
    </row>
    <row r="166" spans="1:28" x14ac:dyDescent="0.35">
      <c r="A166" s="1">
        <v>1032928</v>
      </c>
      <c r="B166" s="21" t="s">
        <v>132</v>
      </c>
      <c r="C166" s="21" t="s">
        <v>428</v>
      </c>
      <c r="D166" s="21" t="s">
        <v>134</v>
      </c>
      <c r="E166" s="2">
        <v>46263</v>
      </c>
      <c r="F166" s="21" t="s">
        <v>139</v>
      </c>
      <c r="G166" s="21" t="s">
        <v>602</v>
      </c>
      <c r="H166" s="1">
        <v>1961</v>
      </c>
      <c r="I166" s="21" t="s">
        <v>551</v>
      </c>
      <c r="J166" s="1">
        <v>141</v>
      </c>
      <c r="K166" s="21" t="s">
        <v>361</v>
      </c>
      <c r="L166" s="1" t="s">
        <v>435</v>
      </c>
      <c r="M166" s="2">
        <v>46269</v>
      </c>
      <c r="N166" s="21" t="s">
        <v>9</v>
      </c>
      <c r="O166" s="21" t="s">
        <v>136</v>
      </c>
      <c r="P166" s="21" t="s">
        <v>137</v>
      </c>
      <c r="Q166" s="2"/>
      <c r="R166" s="21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>MONTH(M166)</f>
        <v>9</v>
      </c>
    </row>
    <row r="167" spans="1:28" x14ac:dyDescent="0.35">
      <c r="A167" s="1">
        <v>1422289</v>
      </c>
      <c r="B167" s="21" t="s">
        <v>132</v>
      </c>
      <c r="C167" s="21" t="s">
        <v>428</v>
      </c>
      <c r="D167" s="21" t="s">
        <v>134</v>
      </c>
      <c r="E167" s="2">
        <v>46248</v>
      </c>
      <c r="F167" s="21" t="s">
        <v>139</v>
      </c>
      <c r="G167" s="21" t="s">
        <v>547</v>
      </c>
      <c r="H167" s="1">
        <v>2022</v>
      </c>
      <c r="I167" s="21" t="s">
        <v>548</v>
      </c>
      <c r="J167" s="1">
        <v>41</v>
      </c>
      <c r="K167" s="21" t="s">
        <v>181</v>
      </c>
      <c r="L167" s="1" t="s">
        <v>431</v>
      </c>
      <c r="M167" s="2">
        <v>46273</v>
      </c>
      <c r="N167" s="21" t="s">
        <v>3</v>
      </c>
      <c r="O167" s="21" t="s">
        <v>137</v>
      </c>
      <c r="P167" s="21" t="s">
        <v>137</v>
      </c>
      <c r="Q167" s="2"/>
      <c r="R167" s="21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>MONTH(M167)</f>
        <v>9</v>
      </c>
    </row>
    <row r="168" spans="1:28" x14ac:dyDescent="0.35">
      <c r="A168" s="1">
        <v>1421556</v>
      </c>
      <c r="B168" s="21" t="s">
        <v>132</v>
      </c>
      <c r="C168" s="21" t="s">
        <v>428</v>
      </c>
      <c r="D168" s="21" t="s">
        <v>134</v>
      </c>
      <c r="E168" s="2">
        <v>46259</v>
      </c>
      <c r="F168" s="21" t="s">
        <v>139</v>
      </c>
      <c r="G168" s="21" t="s">
        <v>216</v>
      </c>
      <c r="H168" s="1">
        <v>328</v>
      </c>
      <c r="I168" s="21" t="s">
        <v>562</v>
      </c>
      <c r="J168" s="1">
        <v>101</v>
      </c>
      <c r="K168" s="21" t="s">
        <v>191</v>
      </c>
      <c r="L168" s="1" t="s">
        <v>31</v>
      </c>
      <c r="M168" s="2">
        <v>46273</v>
      </c>
      <c r="N168" s="21" t="s">
        <v>19</v>
      </c>
      <c r="O168" s="21" t="s">
        <v>136</v>
      </c>
      <c r="P168" s="21" t="s">
        <v>137</v>
      </c>
      <c r="Q168" s="2"/>
      <c r="R168" s="21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>MONTH(M168)</f>
        <v>9</v>
      </c>
    </row>
    <row r="169" spans="1:28" x14ac:dyDescent="0.35">
      <c r="A169" s="1">
        <v>1452424</v>
      </c>
      <c r="B169" s="21" t="s">
        <v>132</v>
      </c>
      <c r="C169" s="21" t="s">
        <v>428</v>
      </c>
      <c r="D169" s="21" t="s">
        <v>134</v>
      </c>
      <c r="E169" s="2">
        <v>46263</v>
      </c>
      <c r="F169" s="21" t="s">
        <v>139</v>
      </c>
      <c r="G169" s="21" t="s">
        <v>190</v>
      </c>
      <c r="H169" s="1">
        <v>1568</v>
      </c>
      <c r="I169" s="21" t="s">
        <v>605</v>
      </c>
      <c r="J169" s="1">
        <v>7</v>
      </c>
      <c r="K169" s="21" t="s">
        <v>606</v>
      </c>
      <c r="L169" s="1" t="s">
        <v>607</v>
      </c>
      <c r="M169" s="2">
        <v>46273</v>
      </c>
      <c r="N169" s="21" t="s">
        <v>9</v>
      </c>
      <c r="O169" s="21" t="s">
        <v>137</v>
      </c>
      <c r="P169" s="21" t="s">
        <v>137</v>
      </c>
      <c r="Q169" s="2"/>
      <c r="R169" s="21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>MONTH(M169)</f>
        <v>9</v>
      </c>
    </row>
    <row r="170" spans="1:28" x14ac:dyDescent="0.35">
      <c r="A170" s="1">
        <v>1435785</v>
      </c>
      <c r="B170" s="21" t="s">
        <v>132</v>
      </c>
      <c r="C170" s="21" t="s">
        <v>428</v>
      </c>
      <c r="D170" s="21" t="s">
        <v>134</v>
      </c>
      <c r="E170" s="2">
        <v>46255</v>
      </c>
      <c r="F170" s="21" t="s">
        <v>165</v>
      </c>
      <c r="G170" s="21" t="s">
        <v>575</v>
      </c>
      <c r="H170" s="1">
        <v>1234</v>
      </c>
      <c r="I170" s="21" t="s">
        <v>576</v>
      </c>
      <c r="J170" s="1">
        <v>39</v>
      </c>
      <c r="K170" s="21" t="s">
        <v>191</v>
      </c>
      <c r="L170" s="1" t="s">
        <v>577</v>
      </c>
      <c r="M170" s="2">
        <v>46275</v>
      </c>
      <c r="N170" s="21" t="s">
        <v>24</v>
      </c>
      <c r="O170" s="21" t="s">
        <v>136</v>
      </c>
      <c r="P170" s="21" t="s">
        <v>137</v>
      </c>
      <c r="Q170" s="2"/>
      <c r="R170" s="21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>MONTH(M170)</f>
        <v>9</v>
      </c>
    </row>
    <row r="171" spans="1:28" x14ac:dyDescent="0.35">
      <c r="A171" s="1">
        <v>1117035</v>
      </c>
      <c r="B171" s="21" t="s">
        <v>132</v>
      </c>
      <c r="C171" s="21" t="s">
        <v>428</v>
      </c>
      <c r="D171" s="21" t="s">
        <v>134</v>
      </c>
      <c r="E171" s="2">
        <v>46258</v>
      </c>
      <c r="F171" s="21" t="s">
        <v>135</v>
      </c>
      <c r="G171" s="21" t="s">
        <v>403</v>
      </c>
      <c r="H171" s="1">
        <v>498</v>
      </c>
      <c r="I171" s="21" t="s">
        <v>588</v>
      </c>
      <c r="J171" s="1">
        <v>123</v>
      </c>
      <c r="K171" s="21" t="s">
        <v>418</v>
      </c>
      <c r="L171" s="1" t="s">
        <v>589</v>
      </c>
      <c r="M171" s="2">
        <v>46275</v>
      </c>
      <c r="N171" s="21" t="s">
        <v>21</v>
      </c>
      <c r="O171" s="21" t="s">
        <v>137</v>
      </c>
      <c r="P171" s="21" t="s">
        <v>137</v>
      </c>
      <c r="Q171" s="2"/>
      <c r="R171" s="21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>MONTH(M171)</f>
        <v>9</v>
      </c>
    </row>
    <row r="172" spans="1:28" x14ac:dyDescent="0.35">
      <c r="A172" s="1">
        <v>1426389</v>
      </c>
      <c r="B172" s="21" t="s">
        <v>132</v>
      </c>
      <c r="C172" s="21" t="s">
        <v>428</v>
      </c>
      <c r="D172" s="21" t="s">
        <v>134</v>
      </c>
      <c r="E172" s="2">
        <v>46261</v>
      </c>
      <c r="F172" s="21" t="s">
        <v>135</v>
      </c>
      <c r="G172" s="21" t="s">
        <v>198</v>
      </c>
      <c r="H172" s="1">
        <v>719</v>
      </c>
      <c r="I172" s="21" t="s">
        <v>591</v>
      </c>
      <c r="J172" s="1">
        <v>136</v>
      </c>
      <c r="K172" s="21" t="s">
        <v>142</v>
      </c>
      <c r="L172" s="1" t="s">
        <v>348</v>
      </c>
      <c r="M172" s="2">
        <v>46275</v>
      </c>
      <c r="N172" s="21" t="s">
        <v>24</v>
      </c>
      <c r="O172" s="21" t="s">
        <v>145</v>
      </c>
      <c r="P172" s="21" t="s">
        <v>137</v>
      </c>
      <c r="Q172" s="2">
        <v>46275</v>
      </c>
      <c r="R172" s="21" t="s">
        <v>124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>MONTH(M172)</f>
        <v>9</v>
      </c>
    </row>
    <row r="173" spans="1:28" x14ac:dyDescent="0.35">
      <c r="A173" s="1">
        <v>1593497</v>
      </c>
      <c r="B173" s="21" t="s">
        <v>132</v>
      </c>
      <c r="C173" s="21" t="s">
        <v>428</v>
      </c>
      <c r="D173" s="21" t="s">
        <v>134</v>
      </c>
      <c r="E173" s="2">
        <v>46262</v>
      </c>
      <c r="F173" s="21" t="s">
        <v>135</v>
      </c>
      <c r="G173" s="21" t="s">
        <v>368</v>
      </c>
      <c r="H173" s="1">
        <v>1003</v>
      </c>
      <c r="I173" s="21" t="s">
        <v>600</v>
      </c>
      <c r="J173" s="1">
        <v>144</v>
      </c>
      <c r="K173" s="21" t="s">
        <v>181</v>
      </c>
      <c r="L173" s="1" t="s">
        <v>348</v>
      </c>
      <c r="M173" s="2">
        <v>46275</v>
      </c>
      <c r="N173" s="21" t="s">
        <v>5</v>
      </c>
      <c r="O173" s="21" t="s">
        <v>145</v>
      </c>
      <c r="P173" s="21" t="s">
        <v>137</v>
      </c>
      <c r="Q173" s="2">
        <v>46276</v>
      </c>
      <c r="R173" s="2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>MONTH(M173)</f>
        <v>9</v>
      </c>
    </row>
    <row r="174" spans="1:28" x14ac:dyDescent="0.35">
      <c r="A174" s="1">
        <v>1421373</v>
      </c>
      <c r="B174" s="21" t="s">
        <v>132</v>
      </c>
      <c r="C174" s="21" t="s">
        <v>428</v>
      </c>
      <c r="D174" s="21" t="s">
        <v>134</v>
      </c>
      <c r="E174" s="2">
        <v>46251</v>
      </c>
      <c r="F174" s="21" t="s">
        <v>139</v>
      </c>
      <c r="G174" s="21" t="s">
        <v>554</v>
      </c>
      <c r="H174" s="1">
        <v>1025</v>
      </c>
      <c r="I174" s="21" t="s">
        <v>555</v>
      </c>
      <c r="J174" s="1">
        <v>104</v>
      </c>
      <c r="K174" s="21" t="s">
        <v>394</v>
      </c>
      <c r="M174" s="2">
        <v>46276</v>
      </c>
      <c r="N174" s="21" t="s">
        <v>5</v>
      </c>
      <c r="O174" s="21" t="s">
        <v>137</v>
      </c>
      <c r="P174" s="21" t="s">
        <v>137</v>
      </c>
      <c r="Q174" s="2"/>
      <c r="R174" s="21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>MONTH(M174)</f>
        <v>9</v>
      </c>
    </row>
    <row r="175" spans="1:28" x14ac:dyDescent="0.35">
      <c r="A175" s="1">
        <v>716518</v>
      </c>
      <c r="B175" s="21" t="s">
        <v>132</v>
      </c>
      <c r="C175" s="21" t="s">
        <v>428</v>
      </c>
      <c r="D175" s="21" t="s">
        <v>134</v>
      </c>
      <c r="E175" s="2">
        <v>46255</v>
      </c>
      <c r="F175" s="21" t="s">
        <v>153</v>
      </c>
      <c r="G175" s="21" t="s">
        <v>569</v>
      </c>
      <c r="H175" s="1">
        <v>747</v>
      </c>
      <c r="I175" s="21" t="s">
        <v>570</v>
      </c>
      <c r="J175" s="1">
        <v>61</v>
      </c>
      <c r="K175" s="21" t="s">
        <v>251</v>
      </c>
      <c r="M175" s="2">
        <v>46276</v>
      </c>
      <c r="N175" s="21" t="s">
        <v>24</v>
      </c>
      <c r="O175" s="21" t="s">
        <v>136</v>
      </c>
      <c r="P175" s="21" t="s">
        <v>137</v>
      </c>
      <c r="Q175" s="2"/>
      <c r="R175" s="21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>MONTH(M175)</f>
        <v>9</v>
      </c>
    </row>
    <row r="176" spans="1:28" x14ac:dyDescent="0.35">
      <c r="A176" s="1">
        <v>1452066</v>
      </c>
      <c r="B176" s="21" t="s">
        <v>132</v>
      </c>
      <c r="C176" s="21" t="s">
        <v>428</v>
      </c>
      <c r="D176" s="21" t="s">
        <v>134</v>
      </c>
      <c r="E176" s="2">
        <v>46255</v>
      </c>
      <c r="F176" s="21" t="s">
        <v>153</v>
      </c>
      <c r="G176" s="21" t="s">
        <v>571</v>
      </c>
      <c r="H176" s="1">
        <v>1346</v>
      </c>
      <c r="I176" s="21" t="s">
        <v>572</v>
      </c>
      <c r="J176" s="1">
        <v>107</v>
      </c>
      <c r="K176" s="21" t="s">
        <v>573</v>
      </c>
      <c r="L176" s="1" t="s">
        <v>574</v>
      </c>
      <c r="M176" s="2">
        <v>46276</v>
      </c>
      <c r="N176" s="21" t="s">
        <v>24</v>
      </c>
      <c r="O176" s="21" t="s">
        <v>137</v>
      </c>
      <c r="P176" s="21" t="s">
        <v>137</v>
      </c>
      <c r="Q176" s="2"/>
      <c r="R176" s="21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>MONTH(M176)</f>
        <v>9</v>
      </c>
    </row>
    <row r="177" spans="1:28" x14ac:dyDescent="0.35">
      <c r="A177" s="1">
        <v>1597083</v>
      </c>
      <c r="B177" s="21" t="s">
        <v>132</v>
      </c>
      <c r="C177" s="21" t="s">
        <v>428</v>
      </c>
      <c r="D177" s="21" t="s">
        <v>134</v>
      </c>
      <c r="E177" s="2">
        <v>46258</v>
      </c>
      <c r="F177" s="21" t="s">
        <v>135</v>
      </c>
      <c r="G177" s="21" t="s">
        <v>584</v>
      </c>
      <c r="H177" s="1">
        <v>930</v>
      </c>
      <c r="I177" s="21" t="s">
        <v>585</v>
      </c>
      <c r="K177" s="21" t="s">
        <v>586</v>
      </c>
      <c r="L177" s="1" t="s">
        <v>587</v>
      </c>
      <c r="M177" s="2">
        <v>46276</v>
      </c>
      <c r="N177" s="21" t="s">
        <v>5</v>
      </c>
      <c r="O177" s="21" t="s">
        <v>137</v>
      </c>
      <c r="P177" s="21" t="s">
        <v>137</v>
      </c>
      <c r="Q177" s="2"/>
      <c r="R177" s="21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>MONTH(M177)</f>
        <v>9</v>
      </c>
    </row>
    <row r="178" spans="1:28" x14ac:dyDescent="0.35">
      <c r="A178" s="1">
        <v>626704</v>
      </c>
      <c r="B178" s="21" t="s">
        <v>132</v>
      </c>
      <c r="C178" s="21" t="s">
        <v>428</v>
      </c>
      <c r="D178" s="21" t="s">
        <v>134</v>
      </c>
      <c r="E178" s="2">
        <v>46258</v>
      </c>
      <c r="F178" s="21" t="s">
        <v>153</v>
      </c>
      <c r="G178" s="21" t="s">
        <v>363</v>
      </c>
      <c r="H178" s="1">
        <v>620</v>
      </c>
      <c r="I178" s="21" t="s">
        <v>570</v>
      </c>
      <c r="J178" s="1">
        <v>63</v>
      </c>
      <c r="K178" s="21" t="s">
        <v>167</v>
      </c>
      <c r="L178" s="1" t="s">
        <v>348</v>
      </c>
      <c r="M178" s="2">
        <v>46276</v>
      </c>
      <c r="N178" s="21" t="s">
        <v>24</v>
      </c>
      <c r="O178" s="21" t="s">
        <v>137</v>
      </c>
      <c r="P178" s="21" t="s">
        <v>137</v>
      </c>
      <c r="Q178" s="2"/>
      <c r="R178" s="21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>MONTH(M178)</f>
        <v>9</v>
      </c>
    </row>
    <row r="179" spans="1:28" x14ac:dyDescent="0.35">
      <c r="A179" s="1">
        <v>1594286</v>
      </c>
      <c r="B179" s="21" t="s">
        <v>132</v>
      </c>
      <c r="C179" s="21" t="s">
        <v>428</v>
      </c>
      <c r="D179" s="21" t="s">
        <v>134</v>
      </c>
      <c r="E179" s="2">
        <v>46260</v>
      </c>
      <c r="F179" s="21" t="s">
        <v>155</v>
      </c>
      <c r="G179" s="21" t="s">
        <v>172</v>
      </c>
      <c r="H179" s="1">
        <v>52</v>
      </c>
      <c r="I179" s="21" t="s">
        <v>590</v>
      </c>
      <c r="J179" s="1">
        <v>25</v>
      </c>
      <c r="K179" s="21" t="s">
        <v>251</v>
      </c>
      <c r="L179" s="1" t="s">
        <v>433</v>
      </c>
      <c r="M179" s="2">
        <v>46276</v>
      </c>
      <c r="N179" s="21" t="s">
        <v>5</v>
      </c>
      <c r="O179" s="21" t="s">
        <v>136</v>
      </c>
      <c r="P179" s="21" t="s">
        <v>137</v>
      </c>
      <c r="Q179" s="2"/>
      <c r="R179" s="21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>MONTH(M179)</f>
        <v>9</v>
      </c>
    </row>
    <row r="180" spans="1:28" x14ac:dyDescent="0.35">
      <c r="A180" s="1">
        <v>1574584</v>
      </c>
      <c r="B180" s="21" t="s">
        <v>132</v>
      </c>
      <c r="C180" s="21" t="s">
        <v>428</v>
      </c>
      <c r="D180" s="21" t="s">
        <v>134</v>
      </c>
      <c r="E180" s="2">
        <v>46262</v>
      </c>
      <c r="F180" s="21" t="s">
        <v>149</v>
      </c>
      <c r="G180" s="21" t="s">
        <v>597</v>
      </c>
      <c r="H180" s="1">
        <v>386</v>
      </c>
      <c r="I180" s="21" t="s">
        <v>598</v>
      </c>
      <c r="J180" s="1">
        <v>107</v>
      </c>
      <c r="K180" s="21" t="s">
        <v>558</v>
      </c>
      <c r="L180" s="1" t="s">
        <v>599</v>
      </c>
      <c r="M180" s="2">
        <v>46276</v>
      </c>
      <c r="N180" s="21" t="s">
        <v>5</v>
      </c>
      <c r="O180" s="21" t="s">
        <v>137</v>
      </c>
      <c r="P180" s="21" t="s">
        <v>137</v>
      </c>
      <c r="Q180" s="2"/>
      <c r="R180" s="21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>MONTH(M180)</f>
        <v>9</v>
      </c>
    </row>
    <row r="181" spans="1:28" x14ac:dyDescent="0.35">
      <c r="A181" s="1">
        <v>1544321</v>
      </c>
      <c r="B181" s="21" t="s">
        <v>132</v>
      </c>
      <c r="C181" s="21" t="s">
        <v>428</v>
      </c>
      <c r="D181" s="21" t="s">
        <v>134</v>
      </c>
      <c r="E181" s="2">
        <v>46263</v>
      </c>
      <c r="F181" s="21" t="s">
        <v>149</v>
      </c>
      <c r="G181" s="21" t="s">
        <v>603</v>
      </c>
      <c r="H181" s="1">
        <v>81</v>
      </c>
      <c r="I181" s="21" t="s">
        <v>604</v>
      </c>
      <c r="J181" s="1">
        <v>37</v>
      </c>
      <c r="K181" s="21" t="s">
        <v>251</v>
      </c>
      <c r="L181" s="1" t="s">
        <v>31</v>
      </c>
      <c r="M181" s="2">
        <v>46276</v>
      </c>
      <c r="N181" s="21" t="s">
        <v>5</v>
      </c>
      <c r="O181" s="21" t="s">
        <v>137</v>
      </c>
      <c r="P181" s="21" t="s">
        <v>137</v>
      </c>
      <c r="Q181" s="2"/>
      <c r="R181" s="21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>MONTH(M181)</f>
        <v>9</v>
      </c>
    </row>
    <row r="182" spans="1:28" x14ac:dyDescent="0.35">
      <c r="A182" s="1">
        <v>1156015</v>
      </c>
      <c r="B182" s="21" t="s">
        <v>132</v>
      </c>
      <c r="C182" s="21" t="s">
        <v>428</v>
      </c>
      <c r="D182" s="21" t="s">
        <v>134</v>
      </c>
      <c r="E182" s="2">
        <v>46263</v>
      </c>
      <c r="F182" s="21" t="s">
        <v>155</v>
      </c>
      <c r="G182" s="21" t="s">
        <v>608</v>
      </c>
      <c r="H182" s="1">
        <v>232</v>
      </c>
      <c r="I182" s="21" t="s">
        <v>609</v>
      </c>
      <c r="J182" s="1">
        <v>109</v>
      </c>
      <c r="K182" s="21" t="s">
        <v>167</v>
      </c>
      <c r="L182" s="1" t="s">
        <v>432</v>
      </c>
      <c r="M182" s="2">
        <v>46276</v>
      </c>
      <c r="N182" s="21" t="s">
        <v>5</v>
      </c>
      <c r="O182" s="21" t="s">
        <v>137</v>
      </c>
      <c r="P182" s="21" t="s">
        <v>137</v>
      </c>
      <c r="Q182" s="2"/>
      <c r="R182" s="21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>MONTH(M182)</f>
        <v>9</v>
      </c>
    </row>
    <row r="183" spans="1:28" x14ac:dyDescent="0.35">
      <c r="A183" s="1">
        <v>1564781</v>
      </c>
      <c r="B183" s="21" t="s">
        <v>132</v>
      </c>
      <c r="C183" s="21" t="s">
        <v>428</v>
      </c>
      <c r="D183" s="21" t="s">
        <v>134</v>
      </c>
      <c r="E183" s="2">
        <v>46248</v>
      </c>
      <c r="F183" s="21" t="s">
        <v>161</v>
      </c>
      <c r="G183" s="21" t="s">
        <v>370</v>
      </c>
      <c r="H183" s="1">
        <v>1105</v>
      </c>
      <c r="I183" s="21" t="s">
        <v>549</v>
      </c>
      <c r="J183" s="1">
        <v>137</v>
      </c>
      <c r="K183" s="21" t="s">
        <v>229</v>
      </c>
      <c r="L183" s="1" t="s">
        <v>392</v>
      </c>
      <c r="M183" s="2">
        <v>46279</v>
      </c>
      <c r="N183" s="21" t="s">
        <v>5</v>
      </c>
      <c r="O183" s="21" t="s">
        <v>136</v>
      </c>
      <c r="P183" s="21" t="s">
        <v>137</v>
      </c>
      <c r="Q183" s="2"/>
      <c r="R183" s="21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>MONTH(M183)</f>
        <v>9</v>
      </c>
    </row>
    <row r="184" spans="1:28" x14ac:dyDescent="0.35">
      <c r="A184" s="1">
        <v>1591374</v>
      </c>
      <c r="B184" s="21" t="s">
        <v>132</v>
      </c>
      <c r="C184" s="21" t="s">
        <v>428</v>
      </c>
      <c r="D184" s="21" t="s">
        <v>134</v>
      </c>
      <c r="E184" s="2">
        <v>46251</v>
      </c>
      <c r="F184" s="21" t="s">
        <v>161</v>
      </c>
      <c r="G184" s="21" t="s">
        <v>553</v>
      </c>
      <c r="H184" s="1">
        <v>58</v>
      </c>
      <c r="I184" s="21" t="s">
        <v>549</v>
      </c>
      <c r="J184" s="1">
        <v>51</v>
      </c>
      <c r="K184" s="21" t="s">
        <v>251</v>
      </c>
      <c r="M184" s="2">
        <v>46279</v>
      </c>
      <c r="N184" s="21" t="s">
        <v>5</v>
      </c>
      <c r="O184" s="21" t="s">
        <v>137</v>
      </c>
      <c r="P184" s="21" t="s">
        <v>137</v>
      </c>
      <c r="Q184" s="2"/>
      <c r="R184" s="21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>MONTH(M184)</f>
        <v>9</v>
      </c>
    </row>
    <row r="185" spans="1:28" x14ac:dyDescent="0.35">
      <c r="A185" s="1">
        <v>1589058</v>
      </c>
      <c r="B185" s="21" t="s">
        <v>132</v>
      </c>
      <c r="C185" s="21" t="s">
        <v>428</v>
      </c>
      <c r="D185" s="21" t="s">
        <v>134</v>
      </c>
      <c r="E185" s="2">
        <v>46251</v>
      </c>
      <c r="F185" s="21" t="s">
        <v>146</v>
      </c>
      <c r="G185" s="21" t="s">
        <v>556</v>
      </c>
      <c r="H185" s="1">
        <v>927</v>
      </c>
      <c r="I185" s="21" t="s">
        <v>557</v>
      </c>
      <c r="J185" s="1">
        <v>17</v>
      </c>
      <c r="K185" s="21" t="s">
        <v>558</v>
      </c>
      <c r="L185" s="1" t="s">
        <v>546</v>
      </c>
      <c r="M185" s="2">
        <v>46279</v>
      </c>
      <c r="N185" s="21" t="s">
        <v>5</v>
      </c>
      <c r="O185" s="21" t="s">
        <v>145</v>
      </c>
      <c r="P185" s="21" t="s">
        <v>137</v>
      </c>
      <c r="Q185" s="2">
        <v>46282</v>
      </c>
      <c r="R185" s="2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>MONTH(M185)</f>
        <v>9</v>
      </c>
    </row>
    <row r="186" spans="1:28" x14ac:dyDescent="0.35">
      <c r="A186" s="1">
        <v>1534344</v>
      </c>
      <c r="B186" s="21" t="s">
        <v>132</v>
      </c>
      <c r="C186" s="21" t="s">
        <v>428</v>
      </c>
      <c r="D186" s="21" t="s">
        <v>134</v>
      </c>
      <c r="E186" s="2">
        <v>46255</v>
      </c>
      <c r="F186" s="21" t="s">
        <v>161</v>
      </c>
      <c r="G186" s="21" t="s">
        <v>578</v>
      </c>
      <c r="H186" s="1">
        <v>695</v>
      </c>
      <c r="I186" s="21" t="s">
        <v>579</v>
      </c>
      <c r="J186" s="1">
        <v>83</v>
      </c>
      <c r="K186" s="21" t="s">
        <v>568</v>
      </c>
      <c r="L186" s="1" t="s">
        <v>580</v>
      </c>
      <c r="M186" s="2">
        <v>46279</v>
      </c>
      <c r="N186" s="21" t="s">
        <v>5</v>
      </c>
      <c r="O186" s="21" t="s">
        <v>137</v>
      </c>
      <c r="P186" s="21" t="s">
        <v>137</v>
      </c>
      <c r="Q186" s="2"/>
      <c r="R186" s="21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>MONTH(M186)</f>
        <v>9</v>
      </c>
    </row>
    <row r="187" spans="1:28" x14ac:dyDescent="0.35">
      <c r="A187" s="1">
        <v>1447498</v>
      </c>
      <c r="B187" s="21" t="s">
        <v>132</v>
      </c>
      <c r="C187" s="21" t="s">
        <v>428</v>
      </c>
      <c r="D187" s="21" t="s">
        <v>134</v>
      </c>
      <c r="E187" s="2">
        <v>46258</v>
      </c>
      <c r="F187" s="21" t="s">
        <v>161</v>
      </c>
      <c r="G187" s="21" t="s">
        <v>581</v>
      </c>
      <c r="H187" s="1">
        <v>159</v>
      </c>
      <c r="I187" s="21" t="s">
        <v>582</v>
      </c>
      <c r="J187" s="1">
        <v>93</v>
      </c>
      <c r="K187" s="21" t="s">
        <v>251</v>
      </c>
      <c r="L187" s="1" t="s">
        <v>583</v>
      </c>
      <c r="M187" s="2">
        <v>46280</v>
      </c>
      <c r="N187" s="21" t="s">
        <v>5</v>
      </c>
      <c r="O187" s="21" t="s">
        <v>137</v>
      </c>
      <c r="P187" s="21" t="s">
        <v>137</v>
      </c>
      <c r="Q187" s="2"/>
      <c r="R187" s="21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>MONTH(M187)</f>
        <v>9</v>
      </c>
    </row>
    <row r="188" spans="1:28" x14ac:dyDescent="0.35">
      <c r="A188" s="1">
        <v>624973</v>
      </c>
      <c r="B188" s="21" t="s">
        <v>132</v>
      </c>
      <c r="C188" s="21" t="s">
        <v>428</v>
      </c>
      <c r="D188" s="21" t="s">
        <v>134</v>
      </c>
      <c r="E188" s="2">
        <v>46261</v>
      </c>
      <c r="F188" s="21" t="s">
        <v>153</v>
      </c>
      <c r="G188" s="21" t="s">
        <v>200</v>
      </c>
      <c r="H188" s="1">
        <v>213</v>
      </c>
      <c r="I188" s="21" t="s">
        <v>592</v>
      </c>
      <c r="J188" s="1">
        <v>109</v>
      </c>
      <c r="K188" s="21" t="s">
        <v>251</v>
      </c>
      <c r="L188" s="1" t="s">
        <v>348</v>
      </c>
      <c r="M188" s="2">
        <v>46280</v>
      </c>
      <c r="N188" s="21" t="s">
        <v>5</v>
      </c>
      <c r="O188" s="21" t="s">
        <v>137</v>
      </c>
      <c r="P188" s="21" t="s">
        <v>137</v>
      </c>
      <c r="Q188" s="2"/>
      <c r="R188" s="21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>MONTH(M188)</f>
        <v>9</v>
      </c>
    </row>
    <row r="189" spans="1:28" x14ac:dyDescent="0.35">
      <c r="A189" s="1">
        <v>1426906</v>
      </c>
      <c r="B189" s="21" t="s">
        <v>132</v>
      </c>
      <c r="C189" s="21" t="s">
        <v>428</v>
      </c>
      <c r="D189" s="21" t="s">
        <v>134</v>
      </c>
      <c r="E189" s="2">
        <v>46274</v>
      </c>
      <c r="F189" s="21" t="s">
        <v>155</v>
      </c>
      <c r="G189" s="21" t="s">
        <v>406</v>
      </c>
      <c r="H189" s="1">
        <v>358</v>
      </c>
      <c r="I189" s="21" t="s">
        <v>364</v>
      </c>
      <c r="J189" s="1">
        <v>81</v>
      </c>
      <c r="K189" s="21" t="s">
        <v>606</v>
      </c>
      <c r="L189" s="1" t="s">
        <v>614</v>
      </c>
      <c r="M189" s="2">
        <v>46280</v>
      </c>
      <c r="N189" s="21" t="s">
        <v>5</v>
      </c>
      <c r="O189" s="21" t="s">
        <v>136</v>
      </c>
      <c r="P189" s="21" t="s">
        <v>137</v>
      </c>
      <c r="Q189" s="2"/>
      <c r="R189" s="21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>MONTH(M189)</f>
        <v>9</v>
      </c>
    </row>
    <row r="190" spans="1:28" x14ac:dyDescent="0.35">
      <c r="A190" s="1">
        <v>1360783</v>
      </c>
      <c r="B190" s="21" t="s">
        <v>132</v>
      </c>
      <c r="C190" s="21" t="s">
        <v>428</v>
      </c>
      <c r="D190" s="21" t="s">
        <v>134</v>
      </c>
      <c r="E190" s="2">
        <v>46274</v>
      </c>
      <c r="F190" s="21" t="s">
        <v>153</v>
      </c>
      <c r="G190" s="21" t="s">
        <v>616</v>
      </c>
      <c r="H190" s="1">
        <v>158</v>
      </c>
      <c r="I190" s="21" t="s">
        <v>617</v>
      </c>
      <c r="J190" s="1">
        <v>29</v>
      </c>
      <c r="K190" s="21" t="s">
        <v>191</v>
      </c>
      <c r="M190" s="2">
        <v>46280</v>
      </c>
      <c r="N190" s="21" t="s">
        <v>5</v>
      </c>
      <c r="O190" s="21" t="s">
        <v>137</v>
      </c>
      <c r="P190" s="21" t="s">
        <v>137</v>
      </c>
      <c r="Q190" s="2"/>
      <c r="R190" s="21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>MONTH(M190)</f>
        <v>9</v>
      </c>
    </row>
    <row r="191" spans="1:28" x14ac:dyDescent="0.35">
      <c r="A191" s="1">
        <v>1214171</v>
      </c>
      <c r="B191" s="21" t="s">
        <v>132</v>
      </c>
      <c r="C191" s="21" t="s">
        <v>428</v>
      </c>
      <c r="D191" s="21" t="s">
        <v>134</v>
      </c>
      <c r="E191" s="2">
        <v>46274</v>
      </c>
      <c r="F191" s="21" t="s">
        <v>153</v>
      </c>
      <c r="G191" s="21" t="s">
        <v>625</v>
      </c>
      <c r="H191" s="1">
        <v>125</v>
      </c>
      <c r="I191" s="21" t="s">
        <v>617</v>
      </c>
      <c r="J191" s="1">
        <v>29</v>
      </c>
      <c r="K191" s="21" t="s">
        <v>501</v>
      </c>
      <c r="L191" s="1" t="s">
        <v>626</v>
      </c>
      <c r="M191" s="2">
        <v>46280</v>
      </c>
      <c r="N191" s="21" t="s">
        <v>5</v>
      </c>
      <c r="O191" s="21" t="s">
        <v>137</v>
      </c>
      <c r="P191" s="21" t="s">
        <v>137</v>
      </c>
      <c r="Q191" s="2"/>
      <c r="R191" s="21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>MONTH(M191)</f>
        <v>9</v>
      </c>
    </row>
    <row r="192" spans="1:28" x14ac:dyDescent="0.35">
      <c r="A192" s="1">
        <v>1426560</v>
      </c>
      <c r="B192" s="21" t="s">
        <v>132</v>
      </c>
      <c r="C192" s="21" t="s">
        <v>428</v>
      </c>
      <c r="D192" s="21" t="s">
        <v>134</v>
      </c>
      <c r="E192" s="2">
        <v>46274</v>
      </c>
      <c r="F192" s="21" t="s">
        <v>149</v>
      </c>
      <c r="G192" s="21" t="s">
        <v>610</v>
      </c>
      <c r="H192" s="1">
        <v>98</v>
      </c>
      <c r="I192" s="21" t="s">
        <v>150</v>
      </c>
      <c r="J192" s="1">
        <v>31</v>
      </c>
      <c r="K192" s="21" t="s">
        <v>151</v>
      </c>
      <c r="L192" s="1" t="s">
        <v>611</v>
      </c>
      <c r="M192" s="2">
        <v>46281</v>
      </c>
      <c r="N192" s="21" t="s">
        <v>9</v>
      </c>
      <c r="O192" s="21" t="s">
        <v>145</v>
      </c>
      <c r="P192" s="21" t="s">
        <v>137</v>
      </c>
      <c r="Q192" s="2">
        <v>46281</v>
      </c>
      <c r="R192" s="21" t="s">
        <v>124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>MONTH(M192)</f>
        <v>9</v>
      </c>
    </row>
    <row r="193" spans="1:28" x14ac:dyDescent="0.35">
      <c r="A193" s="1">
        <v>1371386</v>
      </c>
      <c r="B193" s="21" t="s">
        <v>132</v>
      </c>
      <c r="C193" s="21" t="s">
        <v>428</v>
      </c>
      <c r="D193" s="21" t="s">
        <v>134</v>
      </c>
      <c r="E193" s="2">
        <v>46274</v>
      </c>
      <c r="F193" s="21" t="s">
        <v>149</v>
      </c>
      <c r="G193" s="21" t="s">
        <v>192</v>
      </c>
      <c r="H193" s="1">
        <v>227</v>
      </c>
      <c r="I193" s="21" t="s">
        <v>180</v>
      </c>
      <c r="J193" s="1">
        <v>67</v>
      </c>
      <c r="K193" s="21" t="s">
        <v>612</v>
      </c>
      <c r="M193" s="2">
        <v>46281</v>
      </c>
      <c r="N193" s="21" t="s">
        <v>9</v>
      </c>
      <c r="O193" s="21" t="s">
        <v>137</v>
      </c>
      <c r="P193" s="21" t="s">
        <v>137</v>
      </c>
      <c r="Q193" s="2"/>
      <c r="R193" s="21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>MONTH(M193)</f>
        <v>9</v>
      </c>
    </row>
    <row r="194" spans="1:28" x14ac:dyDescent="0.35">
      <c r="A194" s="1">
        <v>56560</v>
      </c>
      <c r="B194" s="21" t="s">
        <v>132</v>
      </c>
      <c r="C194" s="21" t="s">
        <v>428</v>
      </c>
      <c r="D194" s="21" t="s">
        <v>134</v>
      </c>
      <c r="E194" s="2">
        <v>46274</v>
      </c>
      <c r="F194" s="21" t="s">
        <v>149</v>
      </c>
      <c r="G194" s="21" t="s">
        <v>610</v>
      </c>
      <c r="H194" s="1">
        <v>109</v>
      </c>
      <c r="I194" s="21" t="s">
        <v>150</v>
      </c>
      <c r="J194" s="1">
        <v>31</v>
      </c>
      <c r="K194" s="21" t="s">
        <v>142</v>
      </c>
      <c r="L194" s="1" t="s">
        <v>613</v>
      </c>
      <c r="M194" s="2">
        <v>46281</v>
      </c>
      <c r="N194" s="21" t="s">
        <v>9</v>
      </c>
      <c r="O194" s="21" t="s">
        <v>137</v>
      </c>
      <c r="P194" s="21" t="s">
        <v>137</v>
      </c>
      <c r="Q194" s="2"/>
      <c r="R194" s="21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>MONTH(M194)</f>
        <v>9</v>
      </c>
    </row>
    <row r="195" spans="1:28" x14ac:dyDescent="0.35">
      <c r="A195" s="1">
        <v>1443299</v>
      </c>
      <c r="B195" s="21" t="s">
        <v>132</v>
      </c>
      <c r="C195" s="21" t="s">
        <v>428</v>
      </c>
      <c r="D195" s="21" t="s">
        <v>134</v>
      </c>
      <c r="E195" s="2">
        <v>46274</v>
      </c>
      <c r="F195" s="21" t="s">
        <v>135</v>
      </c>
      <c r="G195" s="21" t="s">
        <v>345</v>
      </c>
      <c r="H195" s="1">
        <v>1037</v>
      </c>
      <c r="I195" s="21" t="s">
        <v>615</v>
      </c>
      <c r="J195" s="1">
        <v>82</v>
      </c>
      <c r="K195" s="21" t="s">
        <v>606</v>
      </c>
      <c r="M195" s="2">
        <v>46281</v>
      </c>
      <c r="N195" s="21" t="s">
        <v>24</v>
      </c>
      <c r="O195" s="21" t="s">
        <v>137</v>
      </c>
      <c r="P195" s="21" t="s">
        <v>137</v>
      </c>
      <c r="Q195" s="2"/>
      <c r="R195" s="21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>MONTH(M195)</f>
        <v>9</v>
      </c>
    </row>
    <row r="196" spans="1:28" x14ac:dyDescent="0.35">
      <c r="A196" s="1">
        <v>1443299</v>
      </c>
      <c r="B196" s="21" t="s">
        <v>132</v>
      </c>
      <c r="C196" s="21" t="s">
        <v>428</v>
      </c>
      <c r="D196" s="21" t="s">
        <v>134</v>
      </c>
      <c r="E196" s="2">
        <v>46274</v>
      </c>
      <c r="F196" s="21" t="s">
        <v>135</v>
      </c>
      <c r="G196" s="21" t="s">
        <v>345</v>
      </c>
      <c r="H196" s="1">
        <v>1037</v>
      </c>
      <c r="I196" s="21" t="s">
        <v>615</v>
      </c>
      <c r="J196" s="1">
        <v>96</v>
      </c>
      <c r="K196" s="21" t="s">
        <v>606</v>
      </c>
      <c r="M196" s="2">
        <v>46281</v>
      </c>
      <c r="N196" s="21" t="s">
        <v>24</v>
      </c>
      <c r="O196" s="21" t="s">
        <v>137</v>
      </c>
      <c r="P196" s="21" t="s">
        <v>137</v>
      </c>
      <c r="Q196" s="2"/>
      <c r="R196" s="21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>MONTH(M196)</f>
        <v>9</v>
      </c>
    </row>
    <row r="197" spans="1:28" x14ac:dyDescent="0.35">
      <c r="A197" s="1">
        <v>1443299</v>
      </c>
      <c r="B197" s="21" t="s">
        <v>132</v>
      </c>
      <c r="C197" s="21" t="s">
        <v>428</v>
      </c>
      <c r="D197" s="21" t="s">
        <v>134</v>
      </c>
      <c r="E197" s="2">
        <v>46274</v>
      </c>
      <c r="F197" s="21" t="s">
        <v>135</v>
      </c>
      <c r="G197" s="21" t="s">
        <v>345</v>
      </c>
      <c r="H197" s="1">
        <v>1037</v>
      </c>
      <c r="I197" s="21" t="s">
        <v>615</v>
      </c>
      <c r="J197" s="1">
        <v>85</v>
      </c>
      <c r="K197" s="21" t="s">
        <v>606</v>
      </c>
      <c r="M197" s="2">
        <v>46281</v>
      </c>
      <c r="N197" s="21" t="s">
        <v>24</v>
      </c>
      <c r="O197" s="21" t="s">
        <v>137</v>
      </c>
      <c r="P197" s="21" t="s">
        <v>137</v>
      </c>
      <c r="Q197" s="2"/>
      <c r="R197" s="21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>MONTH(M197)</f>
        <v>9</v>
      </c>
    </row>
    <row r="198" spans="1:28" x14ac:dyDescent="0.35">
      <c r="A198" s="1">
        <v>1424563</v>
      </c>
      <c r="B198" s="21" t="s">
        <v>132</v>
      </c>
      <c r="C198" s="21" t="s">
        <v>428</v>
      </c>
      <c r="D198" s="21" t="s">
        <v>134</v>
      </c>
      <c r="E198" s="2">
        <v>46274</v>
      </c>
      <c r="F198" s="21" t="s">
        <v>149</v>
      </c>
      <c r="G198" s="21" t="s">
        <v>610</v>
      </c>
      <c r="H198" s="1">
        <v>53</v>
      </c>
      <c r="I198" s="21" t="s">
        <v>150</v>
      </c>
      <c r="J198" s="1">
        <v>31</v>
      </c>
      <c r="K198" s="21" t="s">
        <v>191</v>
      </c>
      <c r="L198" s="1" t="s">
        <v>348</v>
      </c>
      <c r="M198" s="2">
        <v>46281</v>
      </c>
      <c r="N198" s="21" t="s">
        <v>9</v>
      </c>
      <c r="O198" s="21" t="s">
        <v>137</v>
      </c>
      <c r="P198" s="21" t="s">
        <v>137</v>
      </c>
      <c r="Q198" s="2"/>
      <c r="R198" s="21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>MONTH(M198)</f>
        <v>9</v>
      </c>
    </row>
    <row r="199" spans="1:28" x14ac:dyDescent="0.35">
      <c r="A199" s="1">
        <v>1435359</v>
      </c>
      <c r="B199" s="21" t="s">
        <v>132</v>
      </c>
      <c r="C199" s="21" t="s">
        <v>428</v>
      </c>
      <c r="D199" s="21" t="s">
        <v>134</v>
      </c>
      <c r="E199" s="2">
        <v>46274</v>
      </c>
      <c r="F199" s="21" t="s">
        <v>149</v>
      </c>
      <c r="G199" s="21" t="s">
        <v>618</v>
      </c>
      <c r="H199" s="1">
        <v>233</v>
      </c>
      <c r="I199" s="21" t="s">
        <v>180</v>
      </c>
      <c r="J199" s="1">
        <v>35</v>
      </c>
      <c r="K199" s="21" t="s">
        <v>299</v>
      </c>
      <c r="M199" s="2">
        <v>46281</v>
      </c>
      <c r="N199" s="21" t="s">
        <v>21</v>
      </c>
      <c r="O199" s="21" t="s">
        <v>137</v>
      </c>
      <c r="P199" s="21" t="s">
        <v>137</v>
      </c>
      <c r="Q199" s="2"/>
      <c r="R199" s="21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>MONTH(M199)</f>
        <v>9</v>
      </c>
    </row>
    <row r="200" spans="1:28" x14ac:dyDescent="0.35">
      <c r="A200" s="1">
        <v>1535241</v>
      </c>
      <c r="B200" s="21" t="s">
        <v>132</v>
      </c>
      <c r="C200" s="21" t="s">
        <v>428</v>
      </c>
      <c r="D200" s="21" t="s">
        <v>134</v>
      </c>
      <c r="E200" s="2">
        <v>46274</v>
      </c>
      <c r="F200" s="21" t="s">
        <v>146</v>
      </c>
      <c r="G200" s="21" t="s">
        <v>620</v>
      </c>
      <c r="H200" s="1">
        <v>2556</v>
      </c>
      <c r="I200" s="21" t="s">
        <v>621</v>
      </c>
      <c r="J200" s="1">
        <v>64</v>
      </c>
      <c r="K200" s="21" t="s">
        <v>169</v>
      </c>
      <c r="L200" s="1" t="s">
        <v>622</v>
      </c>
      <c r="M200" s="2">
        <v>46281</v>
      </c>
      <c r="N200" s="21" t="s">
        <v>5</v>
      </c>
      <c r="O200" s="21" t="s">
        <v>137</v>
      </c>
      <c r="P200" s="21" t="s">
        <v>137</v>
      </c>
      <c r="Q200" s="2"/>
      <c r="R200" s="21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>MONTH(M200)</f>
        <v>9</v>
      </c>
    </row>
    <row r="201" spans="1:28" x14ac:dyDescent="0.35">
      <c r="A201" s="1">
        <v>1604017</v>
      </c>
      <c r="B201" s="21" t="s">
        <v>132</v>
      </c>
      <c r="C201" s="21" t="s">
        <v>428</v>
      </c>
      <c r="D201" s="21" t="s">
        <v>134</v>
      </c>
      <c r="E201" s="2">
        <v>46274</v>
      </c>
      <c r="F201" s="21" t="s">
        <v>146</v>
      </c>
      <c r="G201" s="21" t="s">
        <v>223</v>
      </c>
      <c r="H201" s="1">
        <v>115</v>
      </c>
      <c r="I201" s="21" t="s">
        <v>177</v>
      </c>
      <c r="J201" s="1">
        <v>74</v>
      </c>
      <c r="K201" s="21" t="s">
        <v>167</v>
      </c>
      <c r="M201" s="2">
        <v>46281</v>
      </c>
      <c r="N201" s="21" t="s">
        <v>5</v>
      </c>
      <c r="O201" s="21" t="s">
        <v>137</v>
      </c>
      <c r="P201" s="21" t="s">
        <v>137</v>
      </c>
      <c r="Q201" s="2"/>
      <c r="R201" s="21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>MONTH(M201)</f>
        <v>9</v>
      </c>
    </row>
    <row r="202" spans="1:28" x14ac:dyDescent="0.35">
      <c r="A202" s="1">
        <v>1606709</v>
      </c>
      <c r="B202" s="21" t="s">
        <v>132</v>
      </c>
      <c r="C202" s="21" t="s">
        <v>428</v>
      </c>
      <c r="D202" s="21" t="s">
        <v>134</v>
      </c>
      <c r="E202" s="2">
        <v>46275</v>
      </c>
      <c r="F202" s="21" t="s">
        <v>155</v>
      </c>
      <c r="G202" s="21" t="s">
        <v>627</v>
      </c>
      <c r="H202" s="1">
        <v>1273</v>
      </c>
      <c r="I202" s="21" t="s">
        <v>440</v>
      </c>
      <c r="J202" s="1">
        <v>11</v>
      </c>
      <c r="K202" s="21" t="s">
        <v>167</v>
      </c>
      <c r="L202" s="1" t="s">
        <v>628</v>
      </c>
      <c r="M202" s="2">
        <v>46281</v>
      </c>
      <c r="N202" s="21" t="s">
        <v>5</v>
      </c>
      <c r="O202" s="21" t="s">
        <v>137</v>
      </c>
      <c r="P202" s="21" t="s">
        <v>137</v>
      </c>
      <c r="Q202" s="2"/>
      <c r="R202" s="21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>MONTH(M202)</f>
        <v>9</v>
      </c>
    </row>
    <row r="203" spans="1:28" x14ac:dyDescent="0.35">
      <c r="A203" s="1">
        <v>1609837</v>
      </c>
      <c r="B203" s="21" t="s">
        <v>132</v>
      </c>
      <c r="C203" s="21" t="s">
        <v>428</v>
      </c>
      <c r="D203" s="21" t="s">
        <v>134</v>
      </c>
      <c r="E203" s="2">
        <v>46275</v>
      </c>
      <c r="F203" s="21" t="s">
        <v>149</v>
      </c>
      <c r="G203" s="21" t="s">
        <v>629</v>
      </c>
      <c r="H203" s="1">
        <v>286</v>
      </c>
      <c r="I203" s="21" t="s">
        <v>220</v>
      </c>
      <c r="J203" s="1">
        <v>91</v>
      </c>
      <c r="K203" s="21" t="s">
        <v>181</v>
      </c>
      <c r="L203" s="1" t="s">
        <v>630</v>
      </c>
      <c r="M203" s="2">
        <v>46281</v>
      </c>
      <c r="N203" s="21" t="s">
        <v>21</v>
      </c>
      <c r="O203" s="21" t="s">
        <v>145</v>
      </c>
      <c r="P203" s="21" t="s">
        <v>137</v>
      </c>
      <c r="Q203" s="2">
        <v>46281</v>
      </c>
      <c r="R203" s="21" t="s">
        <v>124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>MONTH(M203)</f>
        <v>9</v>
      </c>
    </row>
    <row r="204" spans="1:28" x14ac:dyDescent="0.35">
      <c r="A204" s="1">
        <v>1534491</v>
      </c>
      <c r="B204" s="21" t="s">
        <v>132</v>
      </c>
      <c r="C204" s="21" t="s">
        <v>428</v>
      </c>
      <c r="D204" s="21" t="s">
        <v>134</v>
      </c>
      <c r="E204" s="2">
        <v>46279</v>
      </c>
      <c r="F204" s="21" t="s">
        <v>149</v>
      </c>
      <c r="G204" s="21" t="s">
        <v>271</v>
      </c>
      <c r="H204" s="1">
        <v>435</v>
      </c>
      <c r="I204" s="21" t="s">
        <v>662</v>
      </c>
      <c r="J204" s="1">
        <v>1</v>
      </c>
      <c r="K204" s="21" t="s">
        <v>170</v>
      </c>
      <c r="M204" s="2">
        <v>46281</v>
      </c>
      <c r="N204" s="21" t="s">
        <v>21</v>
      </c>
      <c r="O204" s="21" t="s">
        <v>137</v>
      </c>
      <c r="P204" s="21" t="s">
        <v>137</v>
      </c>
      <c r="Q204" s="2"/>
      <c r="R204" s="21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>MONTH(M204)</f>
        <v>9</v>
      </c>
    </row>
    <row r="205" spans="1:28" x14ac:dyDescent="0.35">
      <c r="A205" s="1">
        <v>98229</v>
      </c>
      <c r="B205" s="21" t="s">
        <v>132</v>
      </c>
      <c r="C205" s="21" t="s">
        <v>428</v>
      </c>
      <c r="D205" s="21" t="s">
        <v>134</v>
      </c>
      <c r="E205" s="2">
        <v>46281</v>
      </c>
      <c r="F205" s="21" t="s">
        <v>155</v>
      </c>
      <c r="G205" s="21" t="s">
        <v>682</v>
      </c>
      <c r="H205" s="1">
        <v>771</v>
      </c>
      <c r="I205" s="21" t="s">
        <v>364</v>
      </c>
      <c r="J205" s="1">
        <v>97</v>
      </c>
      <c r="K205" s="21" t="s">
        <v>148</v>
      </c>
      <c r="L205" s="1" t="s">
        <v>683</v>
      </c>
      <c r="M205" s="2">
        <v>46281</v>
      </c>
      <c r="N205" s="21" t="s">
        <v>5</v>
      </c>
      <c r="O205" s="21" t="s">
        <v>137</v>
      </c>
      <c r="P205" s="21" t="s">
        <v>137</v>
      </c>
      <c r="Q205" s="2"/>
      <c r="R205" s="21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>MONTH(M205)</f>
        <v>9</v>
      </c>
    </row>
    <row r="206" spans="1:28" x14ac:dyDescent="0.35">
      <c r="A206" s="1">
        <v>1444700</v>
      </c>
      <c r="B206" s="21" t="s">
        <v>132</v>
      </c>
      <c r="C206" s="21" t="s">
        <v>428</v>
      </c>
      <c r="D206" s="21" t="s">
        <v>134</v>
      </c>
      <c r="E206" s="2">
        <v>46274</v>
      </c>
      <c r="F206" s="21" t="s">
        <v>135</v>
      </c>
      <c r="G206" s="21" t="s">
        <v>619</v>
      </c>
      <c r="H206" s="1">
        <v>637</v>
      </c>
      <c r="I206" s="21" t="s">
        <v>533</v>
      </c>
      <c r="J206" s="1">
        <v>72</v>
      </c>
      <c r="K206" s="21" t="s">
        <v>169</v>
      </c>
      <c r="L206" s="1" t="s">
        <v>611</v>
      </c>
      <c r="M206" s="2">
        <v>46282</v>
      </c>
      <c r="N206" s="21" t="s">
        <v>21</v>
      </c>
      <c r="O206" s="21" t="s">
        <v>137</v>
      </c>
      <c r="P206" s="21" t="s">
        <v>137</v>
      </c>
      <c r="Q206" s="2"/>
      <c r="R206" s="21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>MONTH(M206)</f>
        <v>9</v>
      </c>
    </row>
    <row r="207" spans="1:28" x14ac:dyDescent="0.35">
      <c r="A207" s="1">
        <v>1444690</v>
      </c>
      <c r="B207" s="21" t="s">
        <v>132</v>
      </c>
      <c r="C207" s="21" t="s">
        <v>428</v>
      </c>
      <c r="D207" s="21" t="s">
        <v>134</v>
      </c>
      <c r="E207" s="2">
        <v>46274</v>
      </c>
      <c r="F207" s="21" t="s">
        <v>135</v>
      </c>
      <c r="G207" s="21" t="s">
        <v>619</v>
      </c>
      <c r="H207" s="1">
        <v>313</v>
      </c>
      <c r="I207" s="21" t="s">
        <v>588</v>
      </c>
      <c r="J207" s="1">
        <v>73</v>
      </c>
      <c r="K207" s="21" t="s">
        <v>170</v>
      </c>
      <c r="M207" s="2">
        <v>46282</v>
      </c>
      <c r="N207" s="21" t="s">
        <v>21</v>
      </c>
      <c r="O207" s="21" t="s">
        <v>137</v>
      </c>
      <c r="P207" s="21" t="s">
        <v>137</v>
      </c>
      <c r="Q207" s="2"/>
      <c r="R207" s="21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>MONTH(M207)</f>
        <v>9</v>
      </c>
    </row>
    <row r="208" spans="1:28" x14ac:dyDescent="0.35">
      <c r="A208" s="1">
        <v>1362219</v>
      </c>
      <c r="B208" s="21" t="s">
        <v>132</v>
      </c>
      <c r="C208" s="21" t="s">
        <v>428</v>
      </c>
      <c r="D208" s="21" t="s">
        <v>134</v>
      </c>
      <c r="E208" s="2">
        <v>46274</v>
      </c>
      <c r="F208" s="21" t="s">
        <v>165</v>
      </c>
      <c r="G208" s="21" t="s">
        <v>302</v>
      </c>
      <c r="H208" s="1">
        <v>2229</v>
      </c>
      <c r="I208" s="21" t="s">
        <v>189</v>
      </c>
      <c r="J208" s="1">
        <v>76</v>
      </c>
      <c r="K208" s="21" t="s">
        <v>170</v>
      </c>
      <c r="L208" s="1" t="s">
        <v>623</v>
      </c>
      <c r="M208" s="2">
        <v>46282</v>
      </c>
      <c r="N208" s="21" t="s">
        <v>24</v>
      </c>
      <c r="O208" s="21" t="s">
        <v>137</v>
      </c>
      <c r="P208" s="21" t="s">
        <v>137</v>
      </c>
      <c r="Q208" s="2"/>
      <c r="R208" s="21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>MONTH(M208)</f>
        <v>9</v>
      </c>
    </row>
    <row r="209" spans="1:28" x14ac:dyDescent="0.35">
      <c r="A209" s="1">
        <v>1526859</v>
      </c>
      <c r="B209" s="21" t="s">
        <v>132</v>
      </c>
      <c r="C209" s="21" t="s">
        <v>428</v>
      </c>
      <c r="D209" s="21" t="s">
        <v>134</v>
      </c>
      <c r="E209" s="2">
        <v>46274</v>
      </c>
      <c r="F209" s="21" t="s">
        <v>165</v>
      </c>
      <c r="G209" s="21" t="s">
        <v>624</v>
      </c>
      <c r="H209" s="1">
        <v>111</v>
      </c>
      <c r="I209" s="21" t="s">
        <v>189</v>
      </c>
      <c r="J209" s="1">
        <v>76</v>
      </c>
      <c r="K209" s="21" t="s">
        <v>170</v>
      </c>
      <c r="L209" s="1" t="s">
        <v>623</v>
      </c>
      <c r="M209" s="2">
        <v>46282</v>
      </c>
      <c r="N209" s="21" t="s">
        <v>24</v>
      </c>
      <c r="O209" s="21" t="s">
        <v>136</v>
      </c>
      <c r="P209" s="21" t="s">
        <v>137</v>
      </c>
      <c r="Q209" s="2"/>
      <c r="R209" s="21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>MONTH(M209)</f>
        <v>9</v>
      </c>
    </row>
    <row r="210" spans="1:28" x14ac:dyDescent="0.35">
      <c r="A210" s="1">
        <v>1434158</v>
      </c>
      <c r="B210" s="21" t="s">
        <v>132</v>
      </c>
      <c r="C210" s="21" t="s">
        <v>428</v>
      </c>
      <c r="D210" s="21" t="s">
        <v>134</v>
      </c>
      <c r="E210" s="2">
        <v>46275</v>
      </c>
      <c r="F210" s="21" t="s">
        <v>153</v>
      </c>
      <c r="G210" s="21" t="s">
        <v>631</v>
      </c>
      <c r="H210" s="1">
        <v>356</v>
      </c>
      <c r="I210" s="21" t="s">
        <v>162</v>
      </c>
      <c r="J210" s="1">
        <v>35</v>
      </c>
      <c r="K210" s="21" t="s">
        <v>181</v>
      </c>
      <c r="L210" s="1" t="s">
        <v>632</v>
      </c>
      <c r="M210" s="2">
        <v>46282</v>
      </c>
      <c r="N210" s="21" t="s">
        <v>5</v>
      </c>
      <c r="O210" s="21" t="s">
        <v>137</v>
      </c>
      <c r="P210" s="21" t="s">
        <v>137</v>
      </c>
      <c r="Q210" s="2"/>
      <c r="R210" s="21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>MONTH(M210)</f>
        <v>9</v>
      </c>
    </row>
    <row r="211" spans="1:28" x14ac:dyDescent="0.35">
      <c r="A211" s="1">
        <v>1607552</v>
      </c>
      <c r="B211" s="21" t="s">
        <v>132</v>
      </c>
      <c r="C211" s="21" t="s">
        <v>428</v>
      </c>
      <c r="D211" s="21" t="s">
        <v>134</v>
      </c>
      <c r="E211" s="2">
        <v>46275</v>
      </c>
      <c r="F211" s="21" t="s">
        <v>155</v>
      </c>
      <c r="G211" s="21" t="s">
        <v>633</v>
      </c>
      <c r="H211" s="1">
        <v>1259</v>
      </c>
      <c r="I211" s="21" t="s">
        <v>634</v>
      </c>
      <c r="J211" s="1">
        <v>41</v>
      </c>
      <c r="K211" s="21" t="s">
        <v>191</v>
      </c>
      <c r="L211" s="1" t="s">
        <v>630</v>
      </c>
      <c r="M211" s="2">
        <v>46282</v>
      </c>
      <c r="N211" s="21" t="s">
        <v>5</v>
      </c>
      <c r="O211" s="21" t="s">
        <v>137</v>
      </c>
      <c r="P211" s="21" t="s">
        <v>137</v>
      </c>
      <c r="Q211" s="2"/>
      <c r="R211" s="21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>MONTH(M211)</f>
        <v>9</v>
      </c>
    </row>
    <row r="212" spans="1:28" x14ac:dyDescent="0.35">
      <c r="A212" s="1">
        <v>1493903</v>
      </c>
      <c r="B212" s="21" t="s">
        <v>132</v>
      </c>
      <c r="C212" s="21" t="s">
        <v>428</v>
      </c>
      <c r="D212" s="21" t="s">
        <v>134</v>
      </c>
      <c r="E212" s="2">
        <v>46275</v>
      </c>
      <c r="F212" s="21" t="s">
        <v>135</v>
      </c>
      <c r="G212" s="21" t="s">
        <v>365</v>
      </c>
      <c r="H212" s="1">
        <v>280</v>
      </c>
      <c r="I212" s="21" t="s">
        <v>591</v>
      </c>
      <c r="J212" s="1">
        <v>63</v>
      </c>
      <c r="K212" s="21" t="s">
        <v>170</v>
      </c>
      <c r="L212" s="1" t="s">
        <v>433</v>
      </c>
      <c r="M212" s="2">
        <v>46282</v>
      </c>
      <c r="N212" s="21" t="s">
        <v>5</v>
      </c>
      <c r="O212" s="21" t="s">
        <v>137</v>
      </c>
      <c r="P212" s="21" t="s">
        <v>137</v>
      </c>
      <c r="Q212" s="2"/>
      <c r="R212" s="21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>MONTH(M212)</f>
        <v>9</v>
      </c>
    </row>
    <row r="213" spans="1:28" x14ac:dyDescent="0.35">
      <c r="A213" s="1">
        <v>1546524</v>
      </c>
      <c r="B213" s="21" t="s">
        <v>132</v>
      </c>
      <c r="C213" s="21" t="s">
        <v>428</v>
      </c>
      <c r="D213" s="21" t="s">
        <v>134</v>
      </c>
      <c r="E213" s="2">
        <v>46276</v>
      </c>
      <c r="F213" s="21" t="s">
        <v>149</v>
      </c>
      <c r="G213" s="21" t="s">
        <v>396</v>
      </c>
      <c r="H213" s="1">
        <v>77</v>
      </c>
      <c r="I213" s="21" t="s">
        <v>637</v>
      </c>
      <c r="J213" s="1">
        <v>35</v>
      </c>
      <c r="K213" s="21" t="s">
        <v>638</v>
      </c>
      <c r="L213" s="1" t="s">
        <v>639</v>
      </c>
      <c r="M213" s="2">
        <v>46282</v>
      </c>
      <c r="N213" s="21" t="s">
        <v>5</v>
      </c>
      <c r="O213" s="21" t="s">
        <v>137</v>
      </c>
      <c r="P213" s="21" t="s">
        <v>137</v>
      </c>
      <c r="Q213" s="2"/>
      <c r="R213" s="21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>MONTH(M213)</f>
        <v>9</v>
      </c>
    </row>
    <row r="214" spans="1:28" x14ac:dyDescent="0.35">
      <c r="A214" s="1">
        <v>1426568</v>
      </c>
      <c r="B214" s="21" t="s">
        <v>132</v>
      </c>
      <c r="C214" s="21" t="s">
        <v>428</v>
      </c>
      <c r="D214" s="21" t="s">
        <v>134</v>
      </c>
      <c r="E214" s="2">
        <v>46276</v>
      </c>
      <c r="F214" s="21" t="s">
        <v>135</v>
      </c>
      <c r="G214" s="21" t="s">
        <v>640</v>
      </c>
      <c r="H214" s="1">
        <v>420</v>
      </c>
      <c r="I214" s="21" t="s">
        <v>641</v>
      </c>
      <c r="J214" s="1">
        <v>102</v>
      </c>
      <c r="K214" s="21" t="s">
        <v>642</v>
      </c>
      <c r="L214" s="1" t="s">
        <v>643</v>
      </c>
      <c r="M214" s="2">
        <v>46282</v>
      </c>
      <c r="N214" s="21" t="s">
        <v>22</v>
      </c>
      <c r="O214" s="21" t="s">
        <v>136</v>
      </c>
      <c r="P214" s="21" t="s">
        <v>137</v>
      </c>
      <c r="Q214" s="2"/>
      <c r="R214" s="21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>MONTH(M214)</f>
        <v>9</v>
      </c>
    </row>
    <row r="215" spans="1:28" x14ac:dyDescent="0.35">
      <c r="A215" s="1">
        <v>920724</v>
      </c>
      <c r="B215" s="21" t="s">
        <v>132</v>
      </c>
      <c r="C215" s="21" t="s">
        <v>428</v>
      </c>
      <c r="D215" s="21" t="s">
        <v>134</v>
      </c>
      <c r="E215" s="2">
        <v>46276</v>
      </c>
      <c r="F215" s="21" t="s">
        <v>153</v>
      </c>
      <c r="G215" s="21" t="s">
        <v>645</v>
      </c>
      <c r="H215" s="1">
        <v>106</v>
      </c>
      <c r="I215" s="21" t="s">
        <v>646</v>
      </c>
      <c r="J215" s="1">
        <v>137</v>
      </c>
      <c r="K215" s="21" t="s">
        <v>251</v>
      </c>
      <c r="L215" s="1" t="s">
        <v>630</v>
      </c>
      <c r="M215" s="2">
        <v>46282</v>
      </c>
      <c r="N215" s="21" t="s">
        <v>5</v>
      </c>
      <c r="O215" s="21" t="s">
        <v>137</v>
      </c>
      <c r="P215" s="21" t="s">
        <v>137</v>
      </c>
      <c r="Q215" s="2"/>
      <c r="R215" s="21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>MONTH(M215)</f>
        <v>9</v>
      </c>
    </row>
    <row r="216" spans="1:28" x14ac:dyDescent="0.35">
      <c r="A216" s="1">
        <v>1425901</v>
      </c>
      <c r="B216" s="21" t="s">
        <v>132</v>
      </c>
      <c r="C216" s="21" t="s">
        <v>428</v>
      </c>
      <c r="D216" s="21" t="s">
        <v>134</v>
      </c>
      <c r="E216" s="2">
        <v>46276</v>
      </c>
      <c r="F216" s="21" t="s">
        <v>153</v>
      </c>
      <c r="G216" s="21" t="s">
        <v>647</v>
      </c>
      <c r="H216" s="1">
        <v>270</v>
      </c>
      <c r="I216" s="21" t="s">
        <v>648</v>
      </c>
      <c r="J216" s="1">
        <v>36</v>
      </c>
      <c r="K216" s="21" t="s">
        <v>649</v>
      </c>
      <c r="L216" s="1" t="s">
        <v>650</v>
      </c>
      <c r="M216" s="2">
        <v>46282</v>
      </c>
      <c r="N216" s="21" t="s">
        <v>5</v>
      </c>
      <c r="O216" s="21" t="s">
        <v>137</v>
      </c>
      <c r="P216" s="21" t="s">
        <v>137</v>
      </c>
      <c r="Q216" s="2"/>
      <c r="R216" s="21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>MONTH(M216)</f>
        <v>9</v>
      </c>
    </row>
    <row r="217" spans="1:28" x14ac:dyDescent="0.35">
      <c r="A217" s="1">
        <v>1424052</v>
      </c>
      <c r="B217" s="21" t="s">
        <v>132</v>
      </c>
      <c r="C217" s="21" t="s">
        <v>428</v>
      </c>
      <c r="D217" s="21" t="s">
        <v>134</v>
      </c>
      <c r="E217" s="2">
        <v>46276</v>
      </c>
      <c r="F217" s="21" t="s">
        <v>161</v>
      </c>
      <c r="G217" s="21" t="s">
        <v>651</v>
      </c>
      <c r="H217" s="1">
        <v>726</v>
      </c>
      <c r="I217" s="21" t="s">
        <v>652</v>
      </c>
      <c r="J217" s="1">
        <v>61</v>
      </c>
      <c r="K217" s="21" t="s">
        <v>638</v>
      </c>
      <c r="L217" s="1" t="s">
        <v>653</v>
      </c>
      <c r="M217" s="2">
        <v>46282</v>
      </c>
      <c r="N217" s="21" t="s">
        <v>5</v>
      </c>
      <c r="O217" s="21" t="s">
        <v>145</v>
      </c>
      <c r="P217" s="21" t="s">
        <v>137</v>
      </c>
      <c r="Q217" s="2">
        <v>46282</v>
      </c>
      <c r="R217" s="2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>MONTH(M217)</f>
        <v>9</v>
      </c>
    </row>
    <row r="218" spans="1:28" x14ac:dyDescent="0.35">
      <c r="A218" s="1">
        <v>1441171</v>
      </c>
      <c r="B218" s="21" t="s">
        <v>132</v>
      </c>
      <c r="C218" s="21" t="s">
        <v>428</v>
      </c>
      <c r="D218" s="21" t="s">
        <v>134</v>
      </c>
      <c r="E218" s="2">
        <v>46276</v>
      </c>
      <c r="F218" s="21" t="s">
        <v>165</v>
      </c>
      <c r="G218" s="21" t="s">
        <v>654</v>
      </c>
      <c r="H218" s="1">
        <v>1234</v>
      </c>
      <c r="I218" s="21" t="s">
        <v>655</v>
      </c>
      <c r="J218" s="1">
        <v>11</v>
      </c>
      <c r="K218" s="21" t="s">
        <v>170</v>
      </c>
      <c r="L218" s="1" t="s">
        <v>656</v>
      </c>
      <c r="M218" s="2">
        <v>46282</v>
      </c>
      <c r="N218" s="21" t="s">
        <v>24</v>
      </c>
      <c r="O218" s="21" t="s">
        <v>137</v>
      </c>
      <c r="P218" s="21" t="s">
        <v>137</v>
      </c>
      <c r="Q218" s="2"/>
      <c r="R218" s="21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>MONTH(M218)</f>
        <v>9</v>
      </c>
    </row>
    <row r="219" spans="1:28" x14ac:dyDescent="0.35">
      <c r="A219" s="1">
        <v>1436163</v>
      </c>
      <c r="B219" s="21" t="s">
        <v>132</v>
      </c>
      <c r="C219" s="21" t="s">
        <v>428</v>
      </c>
      <c r="D219" s="21" t="s">
        <v>134</v>
      </c>
      <c r="E219" s="2">
        <v>46281</v>
      </c>
      <c r="F219" s="21" t="s">
        <v>165</v>
      </c>
      <c r="G219" s="21" t="s">
        <v>684</v>
      </c>
      <c r="H219" s="1">
        <v>734</v>
      </c>
      <c r="I219" s="21" t="s">
        <v>685</v>
      </c>
      <c r="J219" s="1">
        <v>99</v>
      </c>
      <c r="K219" s="21" t="s">
        <v>251</v>
      </c>
      <c r="L219" s="1" t="s">
        <v>643</v>
      </c>
      <c r="M219" s="2">
        <v>46282</v>
      </c>
      <c r="N219" s="21" t="s">
        <v>24</v>
      </c>
      <c r="O219" s="21" t="s">
        <v>137</v>
      </c>
      <c r="P219" s="21" t="s">
        <v>137</v>
      </c>
      <c r="Q219" s="2"/>
      <c r="R219" s="21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>MONTH(M219)</f>
        <v>9</v>
      </c>
    </row>
    <row r="220" spans="1:28" x14ac:dyDescent="0.35">
      <c r="A220" s="1">
        <v>1545235</v>
      </c>
      <c r="B220" s="21" t="s">
        <v>132</v>
      </c>
      <c r="C220" s="21" t="s">
        <v>428</v>
      </c>
      <c r="D220" s="21" t="s">
        <v>134</v>
      </c>
      <c r="E220" s="2">
        <v>46276</v>
      </c>
      <c r="F220" s="21" t="s">
        <v>165</v>
      </c>
      <c r="G220" s="21" t="s">
        <v>184</v>
      </c>
      <c r="H220" s="1">
        <v>1316</v>
      </c>
      <c r="I220" s="21" t="s">
        <v>644</v>
      </c>
      <c r="J220" s="1">
        <v>52</v>
      </c>
      <c r="K220" s="21" t="s">
        <v>157</v>
      </c>
      <c r="L220" s="1" t="s">
        <v>435</v>
      </c>
      <c r="M220" s="2">
        <v>46283</v>
      </c>
      <c r="N220" s="21" t="s">
        <v>24</v>
      </c>
      <c r="O220" s="21" t="s">
        <v>137</v>
      </c>
      <c r="P220" s="21" t="s">
        <v>137</v>
      </c>
      <c r="Q220" s="2"/>
      <c r="R220" s="21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>MONTH(M220)</f>
        <v>9</v>
      </c>
    </row>
    <row r="221" spans="1:28" x14ac:dyDescent="0.35">
      <c r="A221" s="1">
        <v>1610841</v>
      </c>
      <c r="B221" s="21" t="s">
        <v>132</v>
      </c>
      <c r="C221" s="21" t="s">
        <v>428</v>
      </c>
      <c r="D221" s="21" t="s">
        <v>134</v>
      </c>
      <c r="E221" s="2">
        <v>46279</v>
      </c>
      <c r="F221" s="21" t="s">
        <v>165</v>
      </c>
      <c r="G221" s="21" t="s">
        <v>657</v>
      </c>
      <c r="H221" s="1">
        <v>687</v>
      </c>
      <c r="I221" s="21" t="s">
        <v>658</v>
      </c>
      <c r="J221" s="1">
        <v>38</v>
      </c>
      <c r="K221" s="21" t="s">
        <v>151</v>
      </c>
      <c r="M221" s="2">
        <v>46283</v>
      </c>
      <c r="N221" s="21" t="s">
        <v>28</v>
      </c>
      <c r="O221" s="21" t="s">
        <v>136</v>
      </c>
      <c r="P221" s="21" t="s">
        <v>137</v>
      </c>
      <c r="Q221" s="2"/>
      <c r="R221" s="21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>MONTH(M221)</f>
        <v>9</v>
      </c>
    </row>
    <row r="222" spans="1:28" x14ac:dyDescent="0.35">
      <c r="A222" s="1">
        <v>1443314</v>
      </c>
      <c r="B222" s="21" t="s">
        <v>132</v>
      </c>
      <c r="C222" s="21" t="s">
        <v>428</v>
      </c>
      <c r="D222" s="21" t="s">
        <v>134</v>
      </c>
      <c r="E222" s="2">
        <v>46279</v>
      </c>
      <c r="F222" s="21" t="s">
        <v>165</v>
      </c>
      <c r="G222" s="21" t="s">
        <v>659</v>
      </c>
      <c r="H222" s="1">
        <v>136</v>
      </c>
      <c r="I222" s="21" t="s">
        <v>660</v>
      </c>
      <c r="J222" s="1">
        <v>55</v>
      </c>
      <c r="K222" s="21" t="s">
        <v>661</v>
      </c>
      <c r="M222" s="2">
        <v>46283</v>
      </c>
      <c r="N222" s="21" t="s">
        <v>28</v>
      </c>
      <c r="O222" s="21" t="s">
        <v>136</v>
      </c>
      <c r="P222" s="21" t="s">
        <v>137</v>
      </c>
      <c r="Q222" s="2"/>
      <c r="R222" s="21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>MONTH(M222)</f>
        <v>9</v>
      </c>
    </row>
    <row r="223" spans="1:28" x14ac:dyDescent="0.35">
      <c r="A223" s="1">
        <v>1443314</v>
      </c>
      <c r="B223" s="21" t="s">
        <v>132</v>
      </c>
      <c r="C223" s="21" t="s">
        <v>428</v>
      </c>
      <c r="D223" s="21" t="s">
        <v>134</v>
      </c>
      <c r="E223" s="2">
        <v>46279</v>
      </c>
      <c r="F223" s="21" t="s">
        <v>165</v>
      </c>
      <c r="G223" s="21" t="s">
        <v>659</v>
      </c>
      <c r="H223" s="1">
        <v>136</v>
      </c>
      <c r="I223" s="21" t="s">
        <v>660</v>
      </c>
      <c r="J223" s="1">
        <v>57</v>
      </c>
      <c r="K223" s="21" t="s">
        <v>661</v>
      </c>
      <c r="M223" s="2">
        <v>46283</v>
      </c>
      <c r="N223" s="21" t="s">
        <v>28</v>
      </c>
      <c r="O223" s="21" t="s">
        <v>136</v>
      </c>
      <c r="P223" s="21" t="s">
        <v>137</v>
      </c>
      <c r="Q223" s="2"/>
      <c r="R223" s="21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>MONTH(M223)</f>
        <v>9</v>
      </c>
    </row>
    <row r="224" spans="1:28" x14ac:dyDescent="0.35">
      <c r="A224" s="1">
        <v>1443363</v>
      </c>
      <c r="B224" s="21" t="s">
        <v>132</v>
      </c>
      <c r="C224" s="21" t="s">
        <v>428</v>
      </c>
      <c r="D224" s="21" t="s">
        <v>134</v>
      </c>
      <c r="E224" s="2">
        <v>46281</v>
      </c>
      <c r="F224" s="21" t="s">
        <v>165</v>
      </c>
      <c r="G224" s="21" t="s">
        <v>671</v>
      </c>
      <c r="H224" s="1">
        <v>1260</v>
      </c>
      <c r="I224" s="21" t="s">
        <v>660</v>
      </c>
      <c r="J224" s="1">
        <v>59</v>
      </c>
      <c r="K224" s="21" t="s">
        <v>661</v>
      </c>
      <c r="L224" s="1" t="s">
        <v>672</v>
      </c>
      <c r="M224" s="2">
        <v>46283</v>
      </c>
      <c r="N224" s="21" t="s">
        <v>28</v>
      </c>
      <c r="O224" s="21" t="s">
        <v>136</v>
      </c>
      <c r="P224" s="21" t="s">
        <v>137</v>
      </c>
      <c r="Q224" s="2"/>
      <c r="R224" s="21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>MONTH(M224)</f>
        <v>9</v>
      </c>
    </row>
    <row r="225" spans="1:28" x14ac:dyDescent="0.35">
      <c r="A225" s="1">
        <v>1443363</v>
      </c>
      <c r="B225" s="21" t="s">
        <v>132</v>
      </c>
      <c r="C225" s="21" t="s">
        <v>428</v>
      </c>
      <c r="D225" s="21" t="s">
        <v>134</v>
      </c>
      <c r="E225" s="2">
        <v>46281</v>
      </c>
      <c r="F225" s="21" t="s">
        <v>165</v>
      </c>
      <c r="G225" s="21" t="s">
        <v>671</v>
      </c>
      <c r="H225" s="1">
        <v>1260</v>
      </c>
      <c r="I225" s="21" t="s">
        <v>660</v>
      </c>
      <c r="J225" s="1">
        <v>61</v>
      </c>
      <c r="K225" s="21" t="s">
        <v>661</v>
      </c>
      <c r="L225" s="1" t="s">
        <v>673</v>
      </c>
      <c r="M225" s="2">
        <v>46283</v>
      </c>
      <c r="N225" s="21" t="s">
        <v>28</v>
      </c>
      <c r="O225" s="21" t="s">
        <v>136</v>
      </c>
      <c r="P225" s="21" t="s">
        <v>137</v>
      </c>
      <c r="Q225" s="2"/>
      <c r="R225" s="21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>MONTH(M225)</f>
        <v>9</v>
      </c>
    </row>
    <row r="226" spans="1:28" x14ac:dyDescent="0.35">
      <c r="A226" s="1">
        <v>1443363</v>
      </c>
      <c r="B226" s="21" t="s">
        <v>132</v>
      </c>
      <c r="C226" s="21" t="s">
        <v>428</v>
      </c>
      <c r="D226" s="21" t="s">
        <v>134</v>
      </c>
      <c r="E226" s="2">
        <v>46281</v>
      </c>
      <c r="F226" s="21" t="s">
        <v>165</v>
      </c>
      <c r="G226" s="21" t="s">
        <v>671</v>
      </c>
      <c r="H226" s="1">
        <v>1260</v>
      </c>
      <c r="I226" s="21" t="s">
        <v>660</v>
      </c>
      <c r="J226" s="1">
        <v>63</v>
      </c>
      <c r="K226" s="21" t="s">
        <v>251</v>
      </c>
      <c r="L226" s="1" t="s">
        <v>674</v>
      </c>
      <c r="M226" s="2">
        <v>46283</v>
      </c>
      <c r="N226" s="21" t="s">
        <v>28</v>
      </c>
      <c r="O226" s="21" t="s">
        <v>136</v>
      </c>
      <c r="P226" s="21" t="s">
        <v>137</v>
      </c>
      <c r="Q226" s="2"/>
      <c r="R226" s="21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>MONTH(M226)</f>
        <v>9</v>
      </c>
    </row>
    <row r="227" spans="1:28" x14ac:dyDescent="0.35">
      <c r="A227" s="1">
        <v>1443323</v>
      </c>
      <c r="B227" s="21" t="s">
        <v>132</v>
      </c>
      <c r="C227" s="21" t="s">
        <v>428</v>
      </c>
      <c r="D227" s="21" t="s">
        <v>134</v>
      </c>
      <c r="E227" s="2">
        <v>46281</v>
      </c>
      <c r="F227" s="21" t="s">
        <v>146</v>
      </c>
      <c r="G227" s="21" t="s">
        <v>675</v>
      </c>
      <c r="H227" s="1">
        <v>160</v>
      </c>
      <c r="I227" s="21" t="s">
        <v>676</v>
      </c>
      <c r="J227" s="1">
        <v>49</v>
      </c>
      <c r="K227" s="21" t="s">
        <v>661</v>
      </c>
      <c r="L227" s="1" t="s">
        <v>677</v>
      </c>
      <c r="M227" s="2">
        <v>46283</v>
      </c>
      <c r="N227" s="21" t="s">
        <v>5</v>
      </c>
      <c r="O227" s="21" t="s">
        <v>136</v>
      </c>
      <c r="P227" s="21" t="s">
        <v>137</v>
      </c>
      <c r="Q227" s="2"/>
      <c r="R227" s="21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>MONTH(M227)</f>
        <v>9</v>
      </c>
    </row>
    <row r="228" spans="1:28" x14ac:dyDescent="0.35">
      <c r="A228" s="1">
        <v>1443323</v>
      </c>
      <c r="B228" s="21" t="s">
        <v>132</v>
      </c>
      <c r="C228" s="21" t="s">
        <v>428</v>
      </c>
      <c r="D228" s="21" t="s">
        <v>134</v>
      </c>
      <c r="E228" s="2">
        <v>46281</v>
      </c>
      <c r="F228" s="21" t="s">
        <v>146</v>
      </c>
      <c r="G228" s="21" t="s">
        <v>675</v>
      </c>
      <c r="H228" s="1">
        <v>160</v>
      </c>
      <c r="I228" s="21" t="s">
        <v>676</v>
      </c>
      <c r="J228" s="1">
        <v>37</v>
      </c>
      <c r="K228" s="21" t="s">
        <v>678</v>
      </c>
      <c r="L228" s="1" t="s">
        <v>679</v>
      </c>
      <c r="M228" s="2">
        <v>46283</v>
      </c>
      <c r="N228" s="21" t="s">
        <v>5</v>
      </c>
      <c r="O228" s="21" t="s">
        <v>136</v>
      </c>
      <c r="P228" s="21" t="s">
        <v>137</v>
      </c>
      <c r="Q228" s="2"/>
      <c r="R228" s="21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>MONTH(M228)</f>
        <v>9</v>
      </c>
    </row>
    <row r="229" spans="1:28" x14ac:dyDescent="0.35">
      <c r="A229" s="1">
        <v>1443323</v>
      </c>
      <c r="B229" s="21" t="s">
        <v>132</v>
      </c>
      <c r="C229" s="21" t="s">
        <v>428</v>
      </c>
      <c r="D229" s="21" t="s">
        <v>134</v>
      </c>
      <c r="E229" s="2">
        <v>46281</v>
      </c>
      <c r="F229" s="21" t="s">
        <v>146</v>
      </c>
      <c r="G229" s="21" t="s">
        <v>675</v>
      </c>
      <c r="H229" s="1">
        <v>160</v>
      </c>
      <c r="I229" s="21" t="s">
        <v>676</v>
      </c>
      <c r="J229" s="1">
        <v>51</v>
      </c>
      <c r="K229" s="21" t="s">
        <v>680</v>
      </c>
      <c r="L229" s="1" t="s">
        <v>679</v>
      </c>
      <c r="M229" s="2">
        <v>46283</v>
      </c>
      <c r="N229" s="21" t="s">
        <v>5</v>
      </c>
      <c r="O229" s="21" t="s">
        <v>136</v>
      </c>
      <c r="P229" s="21" t="s">
        <v>137</v>
      </c>
      <c r="Q229" s="2"/>
      <c r="R229" s="21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>MONTH(M229)</f>
        <v>9</v>
      </c>
    </row>
    <row r="230" spans="1:28" x14ac:dyDescent="0.35">
      <c r="A230" s="1">
        <v>1443323</v>
      </c>
      <c r="B230" s="21" t="s">
        <v>132</v>
      </c>
      <c r="C230" s="21" t="s">
        <v>428</v>
      </c>
      <c r="D230" s="21" t="s">
        <v>134</v>
      </c>
      <c r="E230" s="2">
        <v>46281</v>
      </c>
      <c r="F230" s="21" t="s">
        <v>146</v>
      </c>
      <c r="G230" s="21" t="s">
        <v>675</v>
      </c>
      <c r="H230" s="1">
        <v>160</v>
      </c>
      <c r="I230" s="21" t="s">
        <v>676</v>
      </c>
      <c r="J230" s="1">
        <v>39</v>
      </c>
      <c r="K230" s="21" t="s">
        <v>167</v>
      </c>
      <c r="L230" s="1" t="s">
        <v>681</v>
      </c>
      <c r="M230" s="2">
        <v>46283</v>
      </c>
      <c r="N230" s="21" t="s">
        <v>5</v>
      </c>
      <c r="O230" s="21" t="s">
        <v>136</v>
      </c>
      <c r="P230" s="21" t="s">
        <v>137</v>
      </c>
      <c r="Q230" s="2"/>
      <c r="R230" s="21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>MONTH(M230)</f>
        <v>9</v>
      </c>
    </row>
    <row r="231" spans="1:28" x14ac:dyDescent="0.35">
      <c r="A231" s="1">
        <v>1460847</v>
      </c>
      <c r="B231" s="21" t="s">
        <v>132</v>
      </c>
      <c r="C231" s="21" t="s">
        <v>428</v>
      </c>
      <c r="D231" s="21" t="s">
        <v>134</v>
      </c>
      <c r="E231" s="2">
        <v>46275</v>
      </c>
      <c r="F231" s="21" t="s">
        <v>135</v>
      </c>
      <c r="G231" s="21" t="s">
        <v>368</v>
      </c>
      <c r="H231" s="1">
        <v>470</v>
      </c>
      <c r="I231" s="21" t="s">
        <v>588</v>
      </c>
      <c r="J231" s="1">
        <v>124</v>
      </c>
      <c r="K231" s="21" t="s">
        <v>181</v>
      </c>
      <c r="L231" s="1" t="s">
        <v>426</v>
      </c>
      <c r="M231" s="2">
        <v>46288</v>
      </c>
      <c r="N231" s="21" t="s">
        <v>5</v>
      </c>
      <c r="O231" s="21" t="s">
        <v>137</v>
      </c>
      <c r="P231" s="21" t="s">
        <v>137</v>
      </c>
      <c r="Q231" s="2"/>
      <c r="R231" s="21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>MONTH(M231)</f>
        <v>9</v>
      </c>
    </row>
    <row r="232" spans="1:28" x14ac:dyDescent="0.35">
      <c r="A232" s="1">
        <v>1460859</v>
      </c>
      <c r="B232" s="21" t="s">
        <v>132</v>
      </c>
      <c r="C232" s="21" t="s">
        <v>428</v>
      </c>
      <c r="D232" s="21" t="s">
        <v>134</v>
      </c>
      <c r="E232" s="2">
        <v>46275</v>
      </c>
      <c r="F232" s="21" t="s">
        <v>135</v>
      </c>
      <c r="G232" s="21" t="s">
        <v>368</v>
      </c>
      <c r="H232" s="1">
        <v>649</v>
      </c>
      <c r="I232" s="21" t="s">
        <v>588</v>
      </c>
      <c r="J232" s="1">
        <v>124</v>
      </c>
      <c r="K232" s="21" t="s">
        <v>169</v>
      </c>
      <c r="L232" s="1" t="s">
        <v>426</v>
      </c>
      <c r="M232" s="2">
        <v>46288</v>
      </c>
      <c r="N232" s="21" t="s">
        <v>24</v>
      </c>
      <c r="O232" s="21" t="s">
        <v>137</v>
      </c>
      <c r="P232" s="21" t="s">
        <v>137</v>
      </c>
      <c r="Q232" s="2"/>
      <c r="R232" s="21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>MONTH(M232)</f>
        <v>9</v>
      </c>
    </row>
    <row r="233" spans="1:28" x14ac:dyDescent="0.35">
      <c r="A233" s="1">
        <v>853763</v>
      </c>
      <c r="B233" s="21" t="s">
        <v>132</v>
      </c>
      <c r="C233" s="21" t="s">
        <v>428</v>
      </c>
      <c r="D233" s="21" t="s">
        <v>134</v>
      </c>
      <c r="E233" s="2">
        <v>46280</v>
      </c>
      <c r="F233" s="21" t="s">
        <v>139</v>
      </c>
      <c r="G233" s="21" t="s">
        <v>663</v>
      </c>
      <c r="H233" s="1">
        <v>1877</v>
      </c>
      <c r="I233" s="21" t="s">
        <v>544</v>
      </c>
      <c r="J233" s="1">
        <v>40</v>
      </c>
      <c r="K233" s="21" t="s">
        <v>664</v>
      </c>
      <c r="M233" s="2">
        <v>46288</v>
      </c>
      <c r="N233" s="21" t="s">
        <v>3</v>
      </c>
      <c r="O233" s="21" t="s">
        <v>137</v>
      </c>
      <c r="P233" s="21" t="s">
        <v>137</v>
      </c>
      <c r="Q233" s="2"/>
      <c r="R233" s="21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>MONTH(M233)</f>
        <v>9</v>
      </c>
    </row>
    <row r="234" spans="1:28" x14ac:dyDescent="0.35">
      <c r="A234" s="1">
        <v>64164</v>
      </c>
      <c r="B234" s="21" t="s">
        <v>132</v>
      </c>
      <c r="C234" s="21" t="s">
        <v>428</v>
      </c>
      <c r="D234" s="21" t="s">
        <v>134</v>
      </c>
      <c r="E234" s="2">
        <v>46281</v>
      </c>
      <c r="F234" s="21" t="s">
        <v>135</v>
      </c>
      <c r="G234" s="21" t="s">
        <v>362</v>
      </c>
      <c r="H234" s="1">
        <v>706</v>
      </c>
      <c r="I234" s="21" t="s">
        <v>692</v>
      </c>
      <c r="J234" s="1">
        <v>125</v>
      </c>
      <c r="K234" s="21" t="s">
        <v>693</v>
      </c>
      <c r="L234" s="1" t="s">
        <v>691</v>
      </c>
      <c r="M234" s="2">
        <v>46288</v>
      </c>
      <c r="N234" s="21" t="s">
        <v>24</v>
      </c>
      <c r="O234" s="21" t="s">
        <v>137</v>
      </c>
      <c r="P234" s="21" t="s">
        <v>137</v>
      </c>
      <c r="Q234" s="2"/>
      <c r="R234" s="21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>MONTH(M234)</f>
        <v>9</v>
      </c>
    </row>
    <row r="235" spans="1:28" x14ac:dyDescent="0.35">
      <c r="A235" s="1">
        <v>1432193</v>
      </c>
      <c r="B235" s="21" t="s">
        <v>132</v>
      </c>
      <c r="C235" s="21" t="s">
        <v>428</v>
      </c>
      <c r="D235" s="21" t="s">
        <v>134</v>
      </c>
      <c r="E235" s="2">
        <v>46282</v>
      </c>
      <c r="F235" s="21" t="s">
        <v>135</v>
      </c>
      <c r="G235" s="21" t="s">
        <v>362</v>
      </c>
      <c r="H235" s="1">
        <v>238</v>
      </c>
      <c r="I235" s="21" t="s">
        <v>710</v>
      </c>
      <c r="J235" s="1">
        <v>127</v>
      </c>
      <c r="K235" s="21" t="s">
        <v>168</v>
      </c>
      <c r="L235" s="1" t="s">
        <v>711</v>
      </c>
      <c r="M235" s="2">
        <v>46288</v>
      </c>
      <c r="N235" s="21" t="s">
        <v>24</v>
      </c>
      <c r="O235" s="21" t="s">
        <v>145</v>
      </c>
      <c r="P235" s="21" t="s">
        <v>137</v>
      </c>
      <c r="Q235" s="2">
        <v>46289</v>
      </c>
      <c r="R235" s="2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>MONTH(M235)</f>
        <v>9</v>
      </c>
    </row>
    <row r="236" spans="1:28" x14ac:dyDescent="0.35">
      <c r="A236" s="1">
        <v>1560926</v>
      </c>
      <c r="B236" s="21" t="s">
        <v>132</v>
      </c>
      <c r="C236" s="21" t="s">
        <v>428</v>
      </c>
      <c r="D236" s="21" t="s">
        <v>134</v>
      </c>
      <c r="E236" s="2">
        <v>46286</v>
      </c>
      <c r="F236" s="21" t="s">
        <v>135</v>
      </c>
      <c r="G236" s="21" t="s">
        <v>259</v>
      </c>
      <c r="H236" s="1">
        <v>180</v>
      </c>
      <c r="I236" s="21" t="s">
        <v>710</v>
      </c>
      <c r="J236" s="1">
        <v>82</v>
      </c>
      <c r="K236" s="21" t="s">
        <v>696</v>
      </c>
      <c r="M236" s="2">
        <v>46288</v>
      </c>
      <c r="N236" s="21" t="s">
        <v>21</v>
      </c>
      <c r="O236" s="21" t="s">
        <v>137</v>
      </c>
      <c r="P236" s="21" t="s">
        <v>137</v>
      </c>
      <c r="Q236" s="2"/>
      <c r="R236" s="21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>MONTH(M236)</f>
        <v>9</v>
      </c>
    </row>
    <row r="237" spans="1:28" x14ac:dyDescent="0.35">
      <c r="A237" s="1">
        <v>10752</v>
      </c>
      <c r="B237" s="21" t="s">
        <v>132</v>
      </c>
      <c r="C237" s="21" t="s">
        <v>428</v>
      </c>
      <c r="D237" s="21" t="s">
        <v>134</v>
      </c>
      <c r="E237" s="2">
        <v>46286</v>
      </c>
      <c r="F237" s="21" t="s">
        <v>139</v>
      </c>
      <c r="G237" s="21" t="s">
        <v>722</v>
      </c>
      <c r="H237" s="1">
        <v>84</v>
      </c>
      <c r="I237" s="21" t="s">
        <v>562</v>
      </c>
      <c r="J237" s="1">
        <v>115</v>
      </c>
      <c r="K237" s="21" t="s">
        <v>361</v>
      </c>
      <c r="M237" s="2">
        <v>46288</v>
      </c>
      <c r="N237" s="21" t="s">
        <v>3</v>
      </c>
      <c r="O237" s="21" t="s">
        <v>136</v>
      </c>
      <c r="P237" s="21" t="s">
        <v>137</v>
      </c>
      <c r="Q237" s="2"/>
      <c r="R237" s="21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>MONTH(M237)</f>
        <v>9</v>
      </c>
    </row>
    <row r="238" spans="1:28" x14ac:dyDescent="0.35">
      <c r="A238" s="1">
        <v>1597499</v>
      </c>
      <c r="B238" s="21" t="s">
        <v>132</v>
      </c>
      <c r="C238" s="21" t="s">
        <v>428</v>
      </c>
      <c r="D238" s="21" t="s">
        <v>134</v>
      </c>
      <c r="E238" s="2">
        <v>46288</v>
      </c>
      <c r="F238" s="21" t="s">
        <v>165</v>
      </c>
      <c r="G238" s="21" t="s">
        <v>176</v>
      </c>
      <c r="H238" s="1">
        <v>148</v>
      </c>
      <c r="I238" s="21" t="s">
        <v>733</v>
      </c>
      <c r="J238" s="1">
        <v>64</v>
      </c>
      <c r="K238" s="21" t="s">
        <v>734</v>
      </c>
      <c r="L238" s="1" t="s">
        <v>735</v>
      </c>
      <c r="M238" s="2">
        <v>46288</v>
      </c>
      <c r="N238" s="21" t="s">
        <v>24</v>
      </c>
      <c r="O238" s="21" t="s">
        <v>137</v>
      </c>
      <c r="P238" s="21" t="s">
        <v>137</v>
      </c>
      <c r="Q238" s="2"/>
      <c r="R238" s="21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>MONTH(M238)</f>
        <v>9</v>
      </c>
    </row>
    <row r="239" spans="1:28" x14ac:dyDescent="0.35">
      <c r="A239" s="1">
        <v>1606107</v>
      </c>
      <c r="B239" s="21" t="s">
        <v>132</v>
      </c>
      <c r="C239" s="21" t="s">
        <v>428</v>
      </c>
      <c r="D239" s="21" t="s">
        <v>134</v>
      </c>
      <c r="E239" s="2">
        <v>46280</v>
      </c>
      <c r="F239" s="21" t="s">
        <v>135</v>
      </c>
      <c r="G239" s="21" t="s">
        <v>666</v>
      </c>
      <c r="H239" s="1">
        <v>92</v>
      </c>
      <c r="I239" s="21" t="s">
        <v>667</v>
      </c>
      <c r="J239" s="1">
        <v>39</v>
      </c>
      <c r="K239" s="21" t="s">
        <v>167</v>
      </c>
      <c r="L239" s="1" t="s">
        <v>668</v>
      </c>
      <c r="M239" s="2">
        <v>46289</v>
      </c>
      <c r="N239" s="21" t="s">
        <v>21</v>
      </c>
      <c r="O239" s="21" t="s">
        <v>137</v>
      </c>
      <c r="P239" s="21" t="s">
        <v>137</v>
      </c>
      <c r="Q239" s="2"/>
      <c r="R239" s="21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>MONTH(M239)</f>
        <v>9</v>
      </c>
    </row>
    <row r="240" spans="1:28" x14ac:dyDescent="0.35">
      <c r="A240" s="1">
        <v>1426588</v>
      </c>
      <c r="B240" s="21" t="s">
        <v>132</v>
      </c>
      <c r="C240" s="21" t="s">
        <v>428</v>
      </c>
      <c r="D240" s="21" t="s">
        <v>134</v>
      </c>
      <c r="E240" s="2">
        <v>46281</v>
      </c>
      <c r="F240" s="21" t="s">
        <v>155</v>
      </c>
      <c r="G240" s="21" t="s">
        <v>686</v>
      </c>
      <c r="H240" s="1">
        <v>161</v>
      </c>
      <c r="I240" s="21" t="s">
        <v>687</v>
      </c>
      <c r="J240" s="1">
        <v>1</v>
      </c>
      <c r="K240" s="21" t="s">
        <v>251</v>
      </c>
      <c r="L240" s="1" t="s">
        <v>688</v>
      </c>
      <c r="M240" s="2">
        <v>46289</v>
      </c>
      <c r="N240" s="21" t="s">
        <v>5</v>
      </c>
      <c r="O240" s="21" t="s">
        <v>137</v>
      </c>
      <c r="P240" s="21" t="s">
        <v>137</v>
      </c>
      <c r="Q240" s="2"/>
      <c r="R240" s="21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>MONTH(M240)</f>
        <v>9</v>
      </c>
    </row>
    <row r="241" spans="1:28" x14ac:dyDescent="0.35">
      <c r="A241" s="1">
        <v>1539757</v>
      </c>
      <c r="B241" s="21" t="s">
        <v>132</v>
      </c>
      <c r="C241" s="21" t="s">
        <v>428</v>
      </c>
      <c r="D241" s="21" t="s">
        <v>134</v>
      </c>
      <c r="E241" s="2">
        <v>46282</v>
      </c>
      <c r="F241" s="21" t="s">
        <v>135</v>
      </c>
      <c r="G241" s="21" t="s">
        <v>715</v>
      </c>
      <c r="H241" s="1">
        <v>1251</v>
      </c>
      <c r="I241" s="21" t="s">
        <v>641</v>
      </c>
      <c r="J241" s="1">
        <v>16</v>
      </c>
      <c r="K241" s="21" t="s">
        <v>170</v>
      </c>
      <c r="L241" s="1" t="s">
        <v>716</v>
      </c>
      <c r="M241" s="2">
        <v>46289</v>
      </c>
      <c r="N241" s="21" t="s">
        <v>28</v>
      </c>
      <c r="O241" s="21" t="s">
        <v>137</v>
      </c>
      <c r="P241" s="21" t="s">
        <v>137</v>
      </c>
      <c r="Q241" s="2"/>
      <c r="R241" s="21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>MONTH(M241)</f>
        <v>9</v>
      </c>
    </row>
    <row r="242" spans="1:28" x14ac:dyDescent="0.35">
      <c r="A242" s="1">
        <v>1443235</v>
      </c>
      <c r="B242" s="21" t="s">
        <v>132</v>
      </c>
      <c r="C242" s="21" t="s">
        <v>428</v>
      </c>
      <c r="D242" s="21" t="s">
        <v>134</v>
      </c>
      <c r="E242" s="2">
        <v>46287</v>
      </c>
      <c r="F242" s="21" t="s">
        <v>155</v>
      </c>
      <c r="G242" s="21" t="s">
        <v>457</v>
      </c>
      <c r="H242" s="1">
        <v>470</v>
      </c>
      <c r="I242" s="21" t="s">
        <v>258</v>
      </c>
      <c r="J242" s="1">
        <v>45</v>
      </c>
      <c r="K242" s="21" t="s">
        <v>702</v>
      </c>
      <c r="M242" s="2">
        <v>46289</v>
      </c>
      <c r="N242" s="21" t="s">
        <v>5</v>
      </c>
      <c r="O242" s="21" t="s">
        <v>137</v>
      </c>
      <c r="P242" s="21" t="s">
        <v>137</v>
      </c>
      <c r="Q242" s="2"/>
      <c r="R242" s="21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>MONTH(M242)</f>
        <v>9</v>
      </c>
    </row>
    <row r="243" spans="1:28" x14ac:dyDescent="0.35">
      <c r="A243" s="1">
        <v>1444624</v>
      </c>
      <c r="B243" s="21" t="s">
        <v>132</v>
      </c>
      <c r="C243" s="21" t="s">
        <v>428</v>
      </c>
      <c r="D243" s="21" t="s">
        <v>134</v>
      </c>
      <c r="E243" s="2">
        <v>46281</v>
      </c>
      <c r="F243" s="21" t="s">
        <v>135</v>
      </c>
      <c r="G243" s="21" t="s">
        <v>193</v>
      </c>
      <c r="H243" s="1">
        <v>1295</v>
      </c>
      <c r="I243" s="21" t="s">
        <v>692</v>
      </c>
      <c r="J243" s="1">
        <v>14</v>
      </c>
      <c r="K243" s="21" t="s">
        <v>179</v>
      </c>
      <c r="L243" s="1" t="s">
        <v>697</v>
      </c>
      <c r="M243" s="2">
        <v>46291</v>
      </c>
      <c r="N243" s="21" t="s">
        <v>5</v>
      </c>
      <c r="O243" s="21" t="s">
        <v>137</v>
      </c>
      <c r="P243" s="21" t="s">
        <v>137</v>
      </c>
      <c r="Q243" s="2"/>
      <c r="R243" s="21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>MONTH(M243)</f>
        <v>9</v>
      </c>
    </row>
    <row r="244" spans="1:28" x14ac:dyDescent="0.35">
      <c r="A244" s="1">
        <v>1395482</v>
      </c>
      <c r="B244" s="21" t="s">
        <v>132</v>
      </c>
      <c r="C244" s="21" t="s">
        <v>428</v>
      </c>
      <c r="D244" s="21" t="s">
        <v>134</v>
      </c>
      <c r="E244" s="2">
        <v>46282</v>
      </c>
      <c r="F244" s="21" t="s">
        <v>135</v>
      </c>
      <c r="G244" s="21" t="s">
        <v>619</v>
      </c>
      <c r="H244" s="1">
        <v>1036</v>
      </c>
      <c r="I244" s="21" t="s">
        <v>667</v>
      </c>
      <c r="J244" s="1">
        <v>91</v>
      </c>
      <c r="K244" s="21" t="s">
        <v>702</v>
      </c>
      <c r="L244" s="1" t="s">
        <v>703</v>
      </c>
      <c r="M244" s="2">
        <v>46291</v>
      </c>
      <c r="N244" s="21" t="s">
        <v>5</v>
      </c>
      <c r="O244" s="21" t="s">
        <v>145</v>
      </c>
      <c r="P244" s="21" t="s">
        <v>137</v>
      </c>
      <c r="Q244" s="2">
        <v>46293</v>
      </c>
      <c r="R244" s="21" t="s">
        <v>137</v>
      </c>
      <c r="S244" s="1">
        <v>1</v>
      </c>
      <c r="T244" s="1">
        <v>0</v>
      </c>
      <c r="U244" s="1">
        <v>1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>MONTH(M244)</f>
        <v>9</v>
      </c>
    </row>
    <row r="245" spans="1:28" x14ac:dyDescent="0.35">
      <c r="A245" s="1">
        <v>1395482</v>
      </c>
      <c r="B245" s="21" t="s">
        <v>132</v>
      </c>
      <c r="C245" s="21" t="s">
        <v>428</v>
      </c>
      <c r="D245" s="21" t="s">
        <v>134</v>
      </c>
      <c r="E245" s="2">
        <v>46282</v>
      </c>
      <c r="F245" s="21" t="s">
        <v>135</v>
      </c>
      <c r="G245" s="21" t="s">
        <v>619</v>
      </c>
      <c r="H245" s="1">
        <v>1036</v>
      </c>
      <c r="I245" s="21" t="s">
        <v>667</v>
      </c>
      <c r="J245" s="1">
        <v>93</v>
      </c>
      <c r="K245" s="21" t="s">
        <v>702</v>
      </c>
      <c r="L245" s="1" t="s">
        <v>704</v>
      </c>
      <c r="M245" s="2">
        <v>46291</v>
      </c>
      <c r="N245" s="21" t="s">
        <v>5</v>
      </c>
      <c r="O245" s="21" t="s">
        <v>137</v>
      </c>
      <c r="P245" s="21" t="s">
        <v>137</v>
      </c>
      <c r="Q245" s="2"/>
      <c r="R245" s="21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>MONTH(M245)</f>
        <v>9</v>
      </c>
    </row>
    <row r="246" spans="1:28" x14ac:dyDescent="0.35">
      <c r="A246" s="1">
        <v>1395482</v>
      </c>
      <c r="B246" s="21" t="s">
        <v>132</v>
      </c>
      <c r="C246" s="21" t="s">
        <v>428</v>
      </c>
      <c r="D246" s="21" t="s">
        <v>134</v>
      </c>
      <c r="E246" s="2">
        <v>46282</v>
      </c>
      <c r="F246" s="21" t="s">
        <v>135</v>
      </c>
      <c r="G246" s="21" t="s">
        <v>619</v>
      </c>
      <c r="H246" s="1">
        <v>1036</v>
      </c>
      <c r="I246" s="21" t="s">
        <v>667</v>
      </c>
      <c r="J246" s="1">
        <v>95</v>
      </c>
      <c r="K246" s="21" t="s">
        <v>173</v>
      </c>
      <c r="L246" s="1" t="s">
        <v>705</v>
      </c>
      <c r="M246" s="2">
        <v>46291</v>
      </c>
      <c r="N246" s="21" t="s">
        <v>5</v>
      </c>
      <c r="O246" s="21" t="s">
        <v>137</v>
      </c>
      <c r="P246" s="21" t="s">
        <v>137</v>
      </c>
      <c r="Q246" s="2"/>
      <c r="R246" s="21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>MONTH(M246)</f>
        <v>9</v>
      </c>
    </row>
    <row r="247" spans="1:28" x14ac:dyDescent="0.35">
      <c r="A247" s="1">
        <v>1395482</v>
      </c>
      <c r="B247" s="21" t="s">
        <v>132</v>
      </c>
      <c r="C247" s="21" t="s">
        <v>428</v>
      </c>
      <c r="D247" s="21" t="s">
        <v>134</v>
      </c>
      <c r="E247" s="2">
        <v>46282</v>
      </c>
      <c r="F247" s="21" t="s">
        <v>135</v>
      </c>
      <c r="G247" s="21" t="s">
        <v>619</v>
      </c>
      <c r="H247" s="1">
        <v>1036</v>
      </c>
      <c r="I247" s="21" t="s">
        <v>667</v>
      </c>
      <c r="J247" s="1">
        <v>89</v>
      </c>
      <c r="K247" s="21" t="s">
        <v>702</v>
      </c>
      <c r="L247" s="1" t="s">
        <v>706</v>
      </c>
      <c r="M247" s="2">
        <v>46291</v>
      </c>
      <c r="N247" s="21" t="s">
        <v>5</v>
      </c>
      <c r="O247" s="21" t="s">
        <v>137</v>
      </c>
      <c r="P247" s="21" t="s">
        <v>137</v>
      </c>
      <c r="Q247" s="2"/>
      <c r="R247" s="21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>MONTH(M247)</f>
        <v>9</v>
      </c>
    </row>
    <row r="248" spans="1:28" x14ac:dyDescent="0.35">
      <c r="A248" s="1">
        <v>1395482</v>
      </c>
      <c r="B248" s="21" t="s">
        <v>132</v>
      </c>
      <c r="C248" s="21" t="s">
        <v>428</v>
      </c>
      <c r="D248" s="21" t="s">
        <v>134</v>
      </c>
      <c r="E248" s="2">
        <v>46282</v>
      </c>
      <c r="F248" s="21" t="s">
        <v>135</v>
      </c>
      <c r="G248" s="21" t="s">
        <v>619</v>
      </c>
      <c r="H248" s="1">
        <v>1036</v>
      </c>
      <c r="I248" s="21" t="s">
        <v>667</v>
      </c>
      <c r="J248" s="1">
        <v>87</v>
      </c>
      <c r="K248" s="21" t="s">
        <v>702</v>
      </c>
      <c r="L248" s="1" t="s">
        <v>707</v>
      </c>
      <c r="M248" s="2">
        <v>46291</v>
      </c>
      <c r="N248" s="21" t="s">
        <v>5</v>
      </c>
      <c r="O248" s="21" t="s">
        <v>137</v>
      </c>
      <c r="P248" s="21" t="s">
        <v>137</v>
      </c>
      <c r="Q248" s="2"/>
      <c r="R248" s="21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>MONTH(M248)</f>
        <v>9</v>
      </c>
    </row>
    <row r="249" spans="1:28" x14ac:dyDescent="0.35">
      <c r="A249" s="1">
        <v>1448611</v>
      </c>
      <c r="B249" s="21" t="s">
        <v>132</v>
      </c>
      <c r="C249" s="21" t="s">
        <v>428</v>
      </c>
      <c r="D249" s="21" t="s">
        <v>134</v>
      </c>
      <c r="E249" s="2">
        <v>46280</v>
      </c>
      <c r="F249" s="21" t="s">
        <v>135</v>
      </c>
      <c r="G249" s="21" t="s">
        <v>326</v>
      </c>
      <c r="H249" s="1">
        <v>1116</v>
      </c>
      <c r="I249" s="21" t="s">
        <v>665</v>
      </c>
      <c r="J249" s="1">
        <v>20</v>
      </c>
      <c r="K249" s="21" t="s">
        <v>167</v>
      </c>
      <c r="M249" s="2">
        <v>46293</v>
      </c>
      <c r="N249" s="21" t="s">
        <v>5</v>
      </c>
      <c r="O249" s="21" t="s">
        <v>137</v>
      </c>
      <c r="P249" s="21" t="s">
        <v>137</v>
      </c>
      <c r="Q249" s="2"/>
      <c r="R249" s="21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>MONTH(M249)</f>
        <v>9</v>
      </c>
    </row>
    <row r="250" spans="1:28" x14ac:dyDescent="0.35">
      <c r="A250" s="1">
        <v>1609731</v>
      </c>
      <c r="B250" s="21" t="s">
        <v>132</v>
      </c>
      <c r="C250" s="21" t="s">
        <v>428</v>
      </c>
      <c r="D250" s="21" t="s">
        <v>134</v>
      </c>
      <c r="E250" s="2">
        <v>46280</v>
      </c>
      <c r="F250" s="21" t="s">
        <v>135</v>
      </c>
      <c r="G250" s="21" t="s">
        <v>669</v>
      </c>
      <c r="H250" s="1">
        <v>250</v>
      </c>
      <c r="I250" s="21" t="s">
        <v>533</v>
      </c>
      <c r="J250" s="1">
        <v>27</v>
      </c>
      <c r="K250" s="21" t="s">
        <v>251</v>
      </c>
      <c r="L250" s="1" t="s">
        <v>670</v>
      </c>
      <c r="M250" s="2">
        <v>46293</v>
      </c>
      <c r="N250" s="21" t="s">
        <v>5</v>
      </c>
      <c r="O250" s="21" t="s">
        <v>137</v>
      </c>
      <c r="P250" s="21" t="s">
        <v>137</v>
      </c>
      <c r="Q250" s="2"/>
      <c r="R250" s="21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>MONTH(M250)</f>
        <v>9</v>
      </c>
    </row>
    <row r="251" spans="1:28" x14ac:dyDescent="0.35">
      <c r="A251" s="1">
        <v>1612058</v>
      </c>
      <c r="B251" s="21" t="s">
        <v>132</v>
      </c>
      <c r="C251" s="21" t="s">
        <v>428</v>
      </c>
      <c r="D251" s="21" t="s">
        <v>134</v>
      </c>
      <c r="E251" s="2">
        <v>46282</v>
      </c>
      <c r="F251" s="21" t="s">
        <v>153</v>
      </c>
      <c r="G251" s="21" t="s">
        <v>717</v>
      </c>
      <c r="H251" s="1">
        <v>525</v>
      </c>
      <c r="I251" s="21" t="s">
        <v>570</v>
      </c>
      <c r="J251" s="1">
        <v>49</v>
      </c>
      <c r="K251" s="21" t="s">
        <v>144</v>
      </c>
      <c r="M251" s="2">
        <v>46293</v>
      </c>
      <c r="N251" s="21" t="s">
        <v>5</v>
      </c>
      <c r="O251" s="21" t="s">
        <v>137</v>
      </c>
      <c r="P251" s="21" t="s">
        <v>137</v>
      </c>
      <c r="Q251" s="2"/>
      <c r="R251" s="21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>MONTH(M251)</f>
        <v>9</v>
      </c>
    </row>
    <row r="252" spans="1:28" x14ac:dyDescent="0.35">
      <c r="A252" s="1">
        <v>1361937</v>
      </c>
      <c r="B252" s="21" t="s">
        <v>132</v>
      </c>
      <c r="C252" s="21" t="s">
        <v>428</v>
      </c>
      <c r="D252" s="21" t="s">
        <v>134</v>
      </c>
      <c r="E252" s="2">
        <v>46288</v>
      </c>
      <c r="F252" s="21" t="s">
        <v>135</v>
      </c>
      <c r="G252" s="21" t="s">
        <v>728</v>
      </c>
      <c r="H252" s="1">
        <v>350</v>
      </c>
      <c r="I252" s="21" t="s">
        <v>588</v>
      </c>
      <c r="J252" s="1">
        <v>60</v>
      </c>
      <c r="K252" s="21" t="s">
        <v>167</v>
      </c>
      <c r="L252" s="1" t="s">
        <v>729</v>
      </c>
      <c r="M252" s="2">
        <v>46293</v>
      </c>
      <c r="N252" s="21" t="s">
        <v>5</v>
      </c>
      <c r="O252" s="21" t="s">
        <v>137</v>
      </c>
      <c r="P252" s="21" t="s">
        <v>137</v>
      </c>
      <c r="Q252" s="2"/>
      <c r="R252" s="21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>MONTH(M252)</f>
        <v>9</v>
      </c>
    </row>
    <row r="253" spans="1:28" x14ac:dyDescent="0.35">
      <c r="A253" s="1">
        <v>1374021</v>
      </c>
      <c r="B253" s="21" t="s">
        <v>132</v>
      </c>
      <c r="C253" s="21" t="s">
        <v>428</v>
      </c>
      <c r="D253" s="21" t="s">
        <v>134</v>
      </c>
      <c r="E253" s="2">
        <v>46288</v>
      </c>
      <c r="F253" s="21" t="s">
        <v>153</v>
      </c>
      <c r="G253" s="21" t="s">
        <v>736</v>
      </c>
      <c r="H253" s="1">
        <v>200</v>
      </c>
      <c r="I253" s="21" t="s">
        <v>737</v>
      </c>
      <c r="J253" s="1">
        <v>33</v>
      </c>
      <c r="K253" s="21" t="s">
        <v>251</v>
      </c>
      <c r="M253" s="2">
        <v>46293</v>
      </c>
      <c r="N253" s="21" t="s">
        <v>5</v>
      </c>
      <c r="O253" s="21" t="s">
        <v>137</v>
      </c>
      <c r="P253" s="21" t="s">
        <v>137</v>
      </c>
      <c r="Q253" s="2"/>
      <c r="R253" s="21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>MONTH(M253)</f>
        <v>9</v>
      </c>
    </row>
    <row r="254" spans="1:28" x14ac:dyDescent="0.35">
      <c r="A254" s="1">
        <v>1610710</v>
      </c>
      <c r="B254" s="21" t="s">
        <v>132</v>
      </c>
      <c r="C254" s="21" t="s">
        <v>428</v>
      </c>
      <c r="D254" s="21" t="s">
        <v>134</v>
      </c>
      <c r="E254" s="2">
        <v>46286</v>
      </c>
      <c r="F254" s="21" t="s">
        <v>161</v>
      </c>
      <c r="G254" s="21" t="s">
        <v>723</v>
      </c>
      <c r="H254" s="1">
        <v>789</v>
      </c>
      <c r="I254" s="21" t="s">
        <v>724</v>
      </c>
      <c r="J254" s="1">
        <v>13</v>
      </c>
      <c r="K254" s="21" t="s">
        <v>725</v>
      </c>
      <c r="M254" s="2">
        <v>46294</v>
      </c>
      <c r="N254" s="21" t="s">
        <v>3</v>
      </c>
      <c r="O254" s="21" t="s">
        <v>136</v>
      </c>
      <c r="P254" s="21" t="s">
        <v>137</v>
      </c>
      <c r="Q254" s="2"/>
      <c r="R254" s="21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>MONTH(M254)</f>
        <v>9</v>
      </c>
    </row>
    <row r="255" spans="1:28" x14ac:dyDescent="0.35">
      <c r="A255" s="1">
        <v>1435689</v>
      </c>
      <c r="B255" s="21" t="s">
        <v>132</v>
      </c>
      <c r="C255" s="21" t="s">
        <v>428</v>
      </c>
      <c r="D255" s="21" t="s">
        <v>134</v>
      </c>
      <c r="E255" s="2">
        <v>46289</v>
      </c>
      <c r="F255" s="21" t="s">
        <v>161</v>
      </c>
      <c r="G255" s="21" t="s">
        <v>745</v>
      </c>
      <c r="H255" s="1">
        <v>60</v>
      </c>
      <c r="I255" s="21" t="s">
        <v>746</v>
      </c>
      <c r="J255" s="1">
        <v>101</v>
      </c>
      <c r="K255" s="21" t="s">
        <v>157</v>
      </c>
      <c r="L255" s="1" t="s">
        <v>747</v>
      </c>
      <c r="M255" s="2">
        <v>46294</v>
      </c>
      <c r="N255" s="21" t="s">
        <v>3</v>
      </c>
      <c r="O255" s="21" t="s">
        <v>145</v>
      </c>
      <c r="P255" s="21" t="s">
        <v>137</v>
      </c>
      <c r="Q255" s="2">
        <v>46300</v>
      </c>
      <c r="R255" s="2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>MONTH(M255)</f>
        <v>9</v>
      </c>
    </row>
    <row r="256" spans="1:28" x14ac:dyDescent="0.35">
      <c r="A256" s="1">
        <v>1435360</v>
      </c>
      <c r="B256" s="21" t="s">
        <v>132</v>
      </c>
      <c r="C256" s="21" t="s">
        <v>428</v>
      </c>
      <c r="D256" s="21" t="s">
        <v>134</v>
      </c>
      <c r="E256" s="2">
        <v>46286</v>
      </c>
      <c r="F256" s="21" t="s">
        <v>149</v>
      </c>
      <c r="G256" s="21" t="s">
        <v>219</v>
      </c>
      <c r="H256" s="1">
        <v>577</v>
      </c>
      <c r="I256" s="21" t="s">
        <v>721</v>
      </c>
      <c r="J256" s="1">
        <v>7</v>
      </c>
      <c r="K256" s="21" t="s">
        <v>167</v>
      </c>
      <c r="M256" s="2">
        <v>46295</v>
      </c>
      <c r="N256" s="21" t="s">
        <v>3</v>
      </c>
      <c r="O256" s="21" t="s">
        <v>137</v>
      </c>
      <c r="P256" s="21" t="s">
        <v>137</v>
      </c>
      <c r="Q256" s="2"/>
      <c r="R256" s="21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>MONTH(M256)</f>
        <v>9</v>
      </c>
    </row>
    <row r="257" spans="1:28" x14ac:dyDescent="0.35">
      <c r="A257" s="1">
        <v>1425446</v>
      </c>
      <c r="B257" s="21" t="s">
        <v>132</v>
      </c>
      <c r="C257" s="21" t="s">
        <v>428</v>
      </c>
      <c r="D257" s="21" t="s">
        <v>134</v>
      </c>
      <c r="E257" s="2">
        <v>46288</v>
      </c>
      <c r="F257" s="21" t="s">
        <v>149</v>
      </c>
      <c r="G257" s="21" t="s">
        <v>726</v>
      </c>
      <c r="H257" s="1">
        <v>669</v>
      </c>
      <c r="I257" s="21" t="s">
        <v>727</v>
      </c>
      <c r="J257" s="1">
        <v>97</v>
      </c>
      <c r="K257" s="21" t="s">
        <v>181</v>
      </c>
      <c r="M257" s="2">
        <v>46295</v>
      </c>
      <c r="N257" s="21" t="s">
        <v>3</v>
      </c>
      <c r="O257" s="21" t="s">
        <v>137</v>
      </c>
      <c r="P257" s="21" t="s">
        <v>137</v>
      </c>
      <c r="Q257" s="2"/>
      <c r="R257" s="21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>MONTH(M257)</f>
        <v>9</v>
      </c>
    </row>
    <row r="258" spans="1:28" x14ac:dyDescent="0.35">
      <c r="A258" s="1">
        <v>1606224</v>
      </c>
      <c r="B258" s="21" t="s">
        <v>132</v>
      </c>
      <c r="C258" s="21" t="s">
        <v>428</v>
      </c>
      <c r="D258" s="21" t="s">
        <v>134</v>
      </c>
      <c r="E258" s="2">
        <v>46288</v>
      </c>
      <c r="F258" s="21" t="s">
        <v>135</v>
      </c>
      <c r="G258" s="21" t="s">
        <v>730</v>
      </c>
      <c r="H258" s="1">
        <v>453</v>
      </c>
      <c r="I258" s="21" t="s">
        <v>327</v>
      </c>
      <c r="J258" s="1">
        <v>10</v>
      </c>
      <c r="K258" s="21" t="s">
        <v>169</v>
      </c>
      <c r="L258" s="1" t="s">
        <v>731</v>
      </c>
      <c r="M258" s="2">
        <v>46295</v>
      </c>
      <c r="N258" s="21" t="s">
        <v>28</v>
      </c>
      <c r="O258" s="21" t="s">
        <v>136</v>
      </c>
      <c r="P258" s="21" t="s">
        <v>137</v>
      </c>
      <c r="Q258" s="2"/>
      <c r="R258" s="21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>MONTH(M258)</f>
        <v>9</v>
      </c>
    </row>
    <row r="259" spans="1:28" x14ac:dyDescent="0.35">
      <c r="A259" s="1">
        <v>1099315</v>
      </c>
      <c r="B259" s="21" t="s">
        <v>132</v>
      </c>
      <c r="C259" s="21" t="s">
        <v>428</v>
      </c>
      <c r="D259" s="21" t="s">
        <v>134</v>
      </c>
      <c r="E259" s="2">
        <v>46288</v>
      </c>
      <c r="F259" s="21" t="s">
        <v>165</v>
      </c>
      <c r="G259" s="21" t="s">
        <v>732</v>
      </c>
      <c r="H259" s="1">
        <v>200</v>
      </c>
      <c r="I259" s="21" t="s">
        <v>600</v>
      </c>
      <c r="J259" s="1">
        <v>95</v>
      </c>
      <c r="K259" s="21" t="s">
        <v>367</v>
      </c>
      <c r="M259" s="2">
        <v>46295</v>
      </c>
      <c r="N259" s="21" t="s">
        <v>24</v>
      </c>
      <c r="O259" s="21" t="s">
        <v>137</v>
      </c>
      <c r="P259" s="21" t="s">
        <v>137</v>
      </c>
      <c r="Q259" s="2"/>
      <c r="R259" s="21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>MONTH(M259)</f>
        <v>9</v>
      </c>
    </row>
    <row r="260" spans="1:28" x14ac:dyDescent="0.35">
      <c r="A260" s="1">
        <v>1426921</v>
      </c>
      <c r="B260" s="21" t="s">
        <v>132</v>
      </c>
      <c r="C260" s="21" t="s">
        <v>428</v>
      </c>
      <c r="D260" s="21" t="s">
        <v>134</v>
      </c>
      <c r="E260" s="2">
        <v>46289</v>
      </c>
      <c r="F260" s="21" t="s">
        <v>149</v>
      </c>
      <c r="G260" s="21" t="s">
        <v>597</v>
      </c>
      <c r="H260" s="1">
        <v>406</v>
      </c>
      <c r="I260" s="21" t="s">
        <v>182</v>
      </c>
      <c r="J260" s="1">
        <v>13</v>
      </c>
      <c r="K260" s="21" t="s">
        <v>157</v>
      </c>
      <c r="M260" s="2">
        <v>46295</v>
      </c>
      <c r="N260" s="21" t="s">
        <v>3</v>
      </c>
      <c r="O260" s="21" t="s">
        <v>137</v>
      </c>
      <c r="P260" s="21" t="s">
        <v>137</v>
      </c>
      <c r="Q260" s="2"/>
      <c r="R260" s="21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>MONTH(M260)</f>
        <v>9</v>
      </c>
    </row>
    <row r="261" spans="1:28" x14ac:dyDescent="0.35">
      <c r="A261" s="1">
        <v>1514756</v>
      </c>
      <c r="B261" s="21" t="s">
        <v>132</v>
      </c>
      <c r="C261" s="21" t="s">
        <v>428</v>
      </c>
      <c r="D261" s="21" t="s">
        <v>134</v>
      </c>
      <c r="E261" s="2">
        <v>46289</v>
      </c>
      <c r="F261" s="21" t="s">
        <v>149</v>
      </c>
      <c r="G261" s="21" t="s">
        <v>629</v>
      </c>
      <c r="H261" s="1">
        <v>96</v>
      </c>
      <c r="I261" s="21" t="s">
        <v>637</v>
      </c>
      <c r="J261" s="1">
        <v>73</v>
      </c>
      <c r="K261" s="21" t="s">
        <v>163</v>
      </c>
      <c r="L261" s="1" t="s">
        <v>729</v>
      </c>
      <c r="M261" s="2">
        <v>46295</v>
      </c>
      <c r="N261" s="21" t="s">
        <v>3</v>
      </c>
      <c r="O261" s="21" t="s">
        <v>137</v>
      </c>
      <c r="P261" s="21" t="s">
        <v>137</v>
      </c>
      <c r="Q261" s="2"/>
      <c r="R261" s="21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>MONTH(M261)</f>
        <v>9</v>
      </c>
    </row>
    <row r="262" spans="1:28" x14ac:dyDescent="0.35">
      <c r="A262" s="1">
        <v>1609290</v>
      </c>
      <c r="B262" s="21" t="s">
        <v>132</v>
      </c>
      <c r="C262" s="21" t="s">
        <v>428</v>
      </c>
      <c r="D262" s="21" t="s">
        <v>134</v>
      </c>
      <c r="E262" s="2">
        <v>46289</v>
      </c>
      <c r="F262" s="21" t="s">
        <v>135</v>
      </c>
      <c r="G262" s="21" t="s">
        <v>224</v>
      </c>
      <c r="H262" s="1">
        <v>90</v>
      </c>
      <c r="I262" s="21" t="s">
        <v>588</v>
      </c>
      <c r="J262" s="1">
        <v>97</v>
      </c>
      <c r="K262" s="21" t="s">
        <v>183</v>
      </c>
      <c r="L262" s="1" t="s">
        <v>744</v>
      </c>
      <c r="M262" s="2">
        <v>46295</v>
      </c>
      <c r="N262" s="21" t="s">
        <v>28</v>
      </c>
      <c r="O262" s="21" t="s">
        <v>137</v>
      </c>
      <c r="P262" s="21" t="s">
        <v>137</v>
      </c>
      <c r="Q262" s="2"/>
      <c r="R262" s="21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>MONTH(M262)</f>
        <v>9</v>
      </c>
    </row>
    <row r="263" spans="1:28" x14ac:dyDescent="0.35">
      <c r="A263" s="1">
        <v>1425671</v>
      </c>
      <c r="B263" s="21" t="s">
        <v>132</v>
      </c>
      <c r="C263" s="21" t="s">
        <v>428</v>
      </c>
      <c r="D263" s="21" t="s">
        <v>134</v>
      </c>
      <c r="E263" s="2">
        <v>46290</v>
      </c>
      <c r="F263" s="21" t="s">
        <v>135</v>
      </c>
      <c r="G263" s="21" t="s">
        <v>751</v>
      </c>
      <c r="H263" s="1">
        <v>475</v>
      </c>
      <c r="I263" s="21" t="s">
        <v>692</v>
      </c>
      <c r="J263" s="1">
        <v>10</v>
      </c>
      <c r="K263" s="21" t="s">
        <v>170</v>
      </c>
      <c r="M263" s="2">
        <v>46295</v>
      </c>
      <c r="N263" s="21" t="s">
        <v>28</v>
      </c>
      <c r="O263" s="21" t="s">
        <v>145</v>
      </c>
      <c r="P263" s="21" t="s">
        <v>137</v>
      </c>
      <c r="Q263" s="2">
        <v>46295</v>
      </c>
      <c r="R263" s="2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>MONTH(M263)</f>
        <v>9</v>
      </c>
    </row>
    <row r="264" spans="1:28" x14ac:dyDescent="0.35">
      <c r="A264" s="1">
        <v>1607690</v>
      </c>
      <c r="B264" s="21" t="s">
        <v>132</v>
      </c>
      <c r="C264" s="21" t="s">
        <v>428</v>
      </c>
      <c r="D264" s="21" t="s">
        <v>134</v>
      </c>
      <c r="E264" s="2">
        <v>46275</v>
      </c>
      <c r="F264" s="21" t="s">
        <v>146</v>
      </c>
      <c r="G264" s="21" t="s">
        <v>635</v>
      </c>
      <c r="H264" s="1">
        <v>524</v>
      </c>
      <c r="I264" s="21" t="s">
        <v>269</v>
      </c>
      <c r="J264" s="1">
        <v>63</v>
      </c>
      <c r="K264" s="21" t="s">
        <v>361</v>
      </c>
      <c r="L264" s="1" t="s">
        <v>636</v>
      </c>
      <c r="M264" s="2">
        <v>46296</v>
      </c>
      <c r="N264" s="21" t="s">
        <v>22</v>
      </c>
      <c r="O264" s="21" t="s">
        <v>136</v>
      </c>
      <c r="P264" s="21" t="s">
        <v>137</v>
      </c>
      <c r="Q264" s="2"/>
      <c r="R264" s="21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>MONTH(M264)</f>
        <v>10</v>
      </c>
    </row>
    <row r="265" spans="1:28" x14ac:dyDescent="0.35">
      <c r="A265" s="1">
        <v>1490277</v>
      </c>
      <c r="B265" s="21" t="s">
        <v>132</v>
      </c>
      <c r="C265" s="21" t="s">
        <v>428</v>
      </c>
      <c r="D265" s="21" t="s">
        <v>134</v>
      </c>
      <c r="E265" s="2">
        <v>46282</v>
      </c>
      <c r="F265" s="21" t="s">
        <v>135</v>
      </c>
      <c r="G265" s="21" t="s">
        <v>712</v>
      </c>
      <c r="H265" s="1">
        <v>1216</v>
      </c>
      <c r="I265" s="21" t="s">
        <v>562</v>
      </c>
      <c r="J265" s="1">
        <v>88</v>
      </c>
      <c r="K265" s="21" t="s">
        <v>191</v>
      </c>
      <c r="L265" s="1" t="s">
        <v>713</v>
      </c>
      <c r="M265" s="2">
        <v>46296</v>
      </c>
      <c r="N265" s="21" t="s">
        <v>9</v>
      </c>
      <c r="O265" s="21" t="s">
        <v>137</v>
      </c>
      <c r="P265" s="21" t="s">
        <v>137</v>
      </c>
      <c r="Q265" s="2"/>
      <c r="R265" s="21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>MONTH(M265)</f>
        <v>10</v>
      </c>
    </row>
    <row r="266" spans="1:28" x14ac:dyDescent="0.35">
      <c r="A266" s="1">
        <v>1490277</v>
      </c>
      <c r="B266" s="21" t="s">
        <v>132</v>
      </c>
      <c r="C266" s="21" t="s">
        <v>428</v>
      </c>
      <c r="D266" s="21" t="s">
        <v>134</v>
      </c>
      <c r="E266" s="2">
        <v>46282</v>
      </c>
      <c r="F266" s="21" t="s">
        <v>135</v>
      </c>
      <c r="G266" s="21" t="s">
        <v>712</v>
      </c>
      <c r="H266" s="1">
        <v>1216</v>
      </c>
      <c r="I266" s="21" t="s">
        <v>562</v>
      </c>
      <c r="J266" s="1">
        <v>89</v>
      </c>
      <c r="K266" s="21" t="s">
        <v>181</v>
      </c>
      <c r="L266" s="1" t="s">
        <v>714</v>
      </c>
      <c r="M266" s="2">
        <v>46296</v>
      </c>
      <c r="N266" s="21" t="s">
        <v>9</v>
      </c>
      <c r="O266" s="21" t="s">
        <v>137</v>
      </c>
      <c r="P266" s="21" t="s">
        <v>137</v>
      </c>
      <c r="Q266" s="2"/>
      <c r="R266" s="21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>MONTH(M266)</f>
        <v>10</v>
      </c>
    </row>
    <row r="267" spans="1:28" x14ac:dyDescent="0.35">
      <c r="A267" s="1">
        <v>1610703</v>
      </c>
      <c r="B267" s="21" t="s">
        <v>132</v>
      </c>
      <c r="C267" s="21" t="s">
        <v>428</v>
      </c>
      <c r="D267" s="21" t="s">
        <v>134</v>
      </c>
      <c r="E267" s="2">
        <v>46282</v>
      </c>
      <c r="F267" s="21" t="s">
        <v>146</v>
      </c>
      <c r="G267" s="21" t="s">
        <v>559</v>
      </c>
      <c r="H267" s="1">
        <v>150</v>
      </c>
      <c r="I267" s="21" t="s">
        <v>676</v>
      </c>
      <c r="J267" s="1">
        <v>19</v>
      </c>
      <c r="K267" s="21" t="s">
        <v>171</v>
      </c>
      <c r="M267" s="2">
        <v>46296</v>
      </c>
      <c r="N267" s="21" t="s">
        <v>22</v>
      </c>
      <c r="O267" s="21" t="s">
        <v>145</v>
      </c>
      <c r="P267" s="21" t="s">
        <v>137</v>
      </c>
      <c r="Q267" s="2">
        <v>46300</v>
      </c>
      <c r="R267" s="2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>MONTH(M267)</f>
        <v>10</v>
      </c>
    </row>
    <row r="268" spans="1:28" x14ac:dyDescent="0.35">
      <c r="A268" s="1">
        <v>1429654</v>
      </c>
      <c r="B268" s="21" t="s">
        <v>132</v>
      </c>
      <c r="C268" s="21" t="s">
        <v>428</v>
      </c>
      <c r="D268" s="21" t="s">
        <v>134</v>
      </c>
      <c r="E268" s="2">
        <v>46289</v>
      </c>
      <c r="F268" s="21" t="s">
        <v>139</v>
      </c>
      <c r="G268" s="21" t="s">
        <v>741</v>
      </c>
      <c r="H268" s="1">
        <v>1858</v>
      </c>
      <c r="I268" s="21" t="s">
        <v>548</v>
      </c>
      <c r="J268" s="1">
        <v>73</v>
      </c>
      <c r="K268" s="21" t="s">
        <v>151</v>
      </c>
      <c r="L268" s="1" t="s">
        <v>742</v>
      </c>
      <c r="M268" s="2">
        <v>46296</v>
      </c>
      <c r="N268" s="21" t="s">
        <v>9</v>
      </c>
      <c r="O268" s="21" t="s">
        <v>137</v>
      </c>
      <c r="P268" s="21" t="s">
        <v>137</v>
      </c>
      <c r="Q268" s="2"/>
      <c r="R268" s="21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>MONTH(M268)</f>
        <v>10</v>
      </c>
    </row>
    <row r="269" spans="1:28" x14ac:dyDescent="0.35">
      <c r="A269" s="1">
        <v>25276</v>
      </c>
      <c r="B269" s="21" t="s">
        <v>132</v>
      </c>
      <c r="C269" s="21" t="s">
        <v>428</v>
      </c>
      <c r="D269" s="21" t="s">
        <v>134</v>
      </c>
      <c r="E269" s="2">
        <v>46290</v>
      </c>
      <c r="F269" s="21" t="s">
        <v>139</v>
      </c>
      <c r="G269" s="21" t="s">
        <v>195</v>
      </c>
      <c r="H269" s="1">
        <v>1523</v>
      </c>
      <c r="I269" s="21" t="s">
        <v>596</v>
      </c>
      <c r="J269" s="1">
        <v>55</v>
      </c>
      <c r="K269" s="21" t="s">
        <v>173</v>
      </c>
      <c r="L269" s="1" t="s">
        <v>749</v>
      </c>
      <c r="M269" s="2">
        <v>46296</v>
      </c>
      <c r="N269" s="21" t="s">
        <v>9</v>
      </c>
      <c r="O269" s="21" t="s">
        <v>137</v>
      </c>
      <c r="P269" s="21" t="s">
        <v>137</v>
      </c>
      <c r="Q269" s="2"/>
      <c r="R269" s="21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>MONTH(M269)</f>
        <v>10</v>
      </c>
    </row>
    <row r="270" spans="1:28" x14ac:dyDescent="0.35">
      <c r="A270" s="1">
        <v>1425108</v>
      </c>
      <c r="B270" s="21" t="s">
        <v>132</v>
      </c>
      <c r="C270" s="21" t="s">
        <v>428</v>
      </c>
      <c r="D270" s="21" t="s">
        <v>134</v>
      </c>
      <c r="E270" s="2">
        <v>46290</v>
      </c>
      <c r="F270" s="21" t="s">
        <v>165</v>
      </c>
      <c r="G270" s="21" t="s">
        <v>175</v>
      </c>
      <c r="H270" s="1">
        <v>2004</v>
      </c>
      <c r="I270" s="21" t="s">
        <v>644</v>
      </c>
      <c r="J270" s="1">
        <v>124</v>
      </c>
      <c r="K270" s="21" t="s">
        <v>201</v>
      </c>
      <c r="L270" s="1" t="s">
        <v>679</v>
      </c>
      <c r="M270" s="2">
        <v>46296</v>
      </c>
      <c r="N270" s="21" t="s">
        <v>28</v>
      </c>
      <c r="O270" s="21" t="s">
        <v>137</v>
      </c>
      <c r="P270" s="21" t="s">
        <v>137</v>
      </c>
      <c r="Q270" s="2"/>
      <c r="R270" s="21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>MONTH(M270)</f>
        <v>10</v>
      </c>
    </row>
    <row r="271" spans="1:28" x14ac:dyDescent="0.35">
      <c r="A271" s="1">
        <v>997973</v>
      </c>
      <c r="B271" s="21" t="s">
        <v>132</v>
      </c>
      <c r="C271" s="21" t="s">
        <v>428</v>
      </c>
      <c r="D271" s="21" t="s">
        <v>134</v>
      </c>
      <c r="E271" s="2">
        <v>46286</v>
      </c>
      <c r="F271" s="21" t="s">
        <v>146</v>
      </c>
      <c r="G271" s="21" t="s">
        <v>718</v>
      </c>
      <c r="H271" s="1">
        <v>126</v>
      </c>
      <c r="I271" s="21" t="s">
        <v>560</v>
      </c>
      <c r="J271" s="1">
        <v>16</v>
      </c>
      <c r="K271" s="21" t="s">
        <v>167</v>
      </c>
      <c r="L271" s="1" t="s">
        <v>691</v>
      </c>
      <c r="M271" s="2">
        <v>46300</v>
      </c>
      <c r="N271" s="21" t="s">
        <v>5</v>
      </c>
      <c r="O271" s="21" t="s">
        <v>145</v>
      </c>
      <c r="P271" s="21" t="s">
        <v>137</v>
      </c>
      <c r="Q271" s="2">
        <v>46300</v>
      </c>
      <c r="R271" s="2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>MONTH(M271)</f>
        <v>10</v>
      </c>
    </row>
    <row r="272" spans="1:28" x14ac:dyDescent="0.35">
      <c r="A272" s="1">
        <v>1092808</v>
      </c>
      <c r="B272" s="21" t="s">
        <v>132</v>
      </c>
      <c r="C272" s="21" t="s">
        <v>428</v>
      </c>
      <c r="D272" s="21" t="s">
        <v>134</v>
      </c>
      <c r="E272" s="2">
        <v>46288</v>
      </c>
      <c r="F272" s="21" t="s">
        <v>146</v>
      </c>
      <c r="G272" s="21" t="s">
        <v>738</v>
      </c>
      <c r="H272" s="1">
        <v>302</v>
      </c>
      <c r="I272" s="21" t="s">
        <v>739</v>
      </c>
      <c r="J272" s="1">
        <v>77</v>
      </c>
      <c r="K272" s="21" t="s">
        <v>142</v>
      </c>
      <c r="L272" s="1" t="s">
        <v>740</v>
      </c>
      <c r="M272" s="2">
        <v>46300</v>
      </c>
      <c r="N272" s="21" t="s">
        <v>5</v>
      </c>
      <c r="O272" s="21" t="s">
        <v>137</v>
      </c>
      <c r="P272" s="21" t="s">
        <v>137</v>
      </c>
      <c r="Q272" s="2"/>
      <c r="R272" s="21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>MONTH(M272)</f>
        <v>10</v>
      </c>
    </row>
    <row r="273" spans="1:28" x14ac:dyDescent="0.35">
      <c r="A273" s="1">
        <v>1218053</v>
      </c>
      <c r="B273" s="21" t="s">
        <v>132</v>
      </c>
      <c r="C273" s="21" t="s">
        <v>428</v>
      </c>
      <c r="D273" s="21" t="s">
        <v>134</v>
      </c>
      <c r="E273" s="2">
        <v>46289</v>
      </c>
      <c r="F273" s="21" t="s">
        <v>146</v>
      </c>
      <c r="G273" s="21" t="s">
        <v>748</v>
      </c>
      <c r="H273" s="1">
        <v>805</v>
      </c>
      <c r="I273" s="21" t="s">
        <v>323</v>
      </c>
      <c r="J273" s="1">
        <v>69</v>
      </c>
      <c r="K273" s="21" t="s">
        <v>191</v>
      </c>
      <c r="L273" s="1" t="s">
        <v>630</v>
      </c>
      <c r="M273" s="2">
        <v>46300</v>
      </c>
      <c r="N273" s="21" t="s">
        <v>5</v>
      </c>
      <c r="O273" s="21" t="s">
        <v>136</v>
      </c>
      <c r="P273" s="21" t="s">
        <v>137</v>
      </c>
      <c r="Q273" s="2"/>
      <c r="R273" s="21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>MONTH(M273)</f>
        <v>10</v>
      </c>
    </row>
    <row r="274" spans="1:28" x14ac:dyDescent="0.35">
      <c r="A274" s="1">
        <v>659852</v>
      </c>
      <c r="B274" s="21" t="s">
        <v>132</v>
      </c>
      <c r="C274" s="21" t="s">
        <v>428</v>
      </c>
      <c r="D274" s="21" t="s">
        <v>134</v>
      </c>
      <c r="E274" s="2">
        <v>46290</v>
      </c>
      <c r="F274" s="21" t="s">
        <v>146</v>
      </c>
      <c r="G274" s="21" t="s">
        <v>755</v>
      </c>
      <c r="H274" s="1">
        <v>670</v>
      </c>
      <c r="I274" s="21" t="s">
        <v>756</v>
      </c>
      <c r="J274" s="1">
        <v>23</v>
      </c>
      <c r="K274" s="21" t="s">
        <v>151</v>
      </c>
      <c r="L274" s="1" t="s">
        <v>668</v>
      </c>
      <c r="M274" s="2">
        <v>46300</v>
      </c>
      <c r="N274" s="21" t="s">
        <v>5</v>
      </c>
      <c r="O274" s="21" t="s">
        <v>137</v>
      </c>
      <c r="P274" s="21" t="s">
        <v>137</v>
      </c>
      <c r="Q274" s="2"/>
      <c r="R274" s="21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>MONTH(M274)</f>
        <v>10</v>
      </c>
    </row>
    <row r="275" spans="1:28" x14ac:dyDescent="0.35">
      <c r="A275" s="1">
        <v>1527654</v>
      </c>
      <c r="B275" s="21" t="s">
        <v>132</v>
      </c>
      <c r="C275" s="21" t="s">
        <v>428</v>
      </c>
      <c r="D275" s="21" t="s">
        <v>134</v>
      </c>
      <c r="E275" s="2">
        <v>46293</v>
      </c>
      <c r="F275" s="21" t="s">
        <v>146</v>
      </c>
      <c r="G275" s="21" t="s">
        <v>217</v>
      </c>
      <c r="H275" s="1">
        <v>4900</v>
      </c>
      <c r="I275" s="21" t="s">
        <v>756</v>
      </c>
      <c r="J275" s="1">
        <v>43</v>
      </c>
      <c r="K275" s="21" t="s">
        <v>757</v>
      </c>
      <c r="L275" s="1" t="s">
        <v>758</v>
      </c>
      <c r="M275" s="2">
        <v>46300</v>
      </c>
      <c r="N275" s="21" t="s">
        <v>5</v>
      </c>
      <c r="O275" s="21" t="s">
        <v>137</v>
      </c>
      <c r="P275" s="21" t="s">
        <v>137</v>
      </c>
      <c r="Q275" s="2"/>
      <c r="R275" s="21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>MONTH(M275)</f>
        <v>10</v>
      </c>
    </row>
    <row r="276" spans="1:28" x14ac:dyDescent="0.35">
      <c r="A276" s="1">
        <v>1527654</v>
      </c>
      <c r="B276" s="21" t="s">
        <v>132</v>
      </c>
      <c r="C276" s="21" t="s">
        <v>428</v>
      </c>
      <c r="D276" s="21" t="s">
        <v>134</v>
      </c>
      <c r="E276" s="2">
        <v>46293</v>
      </c>
      <c r="F276" s="21" t="s">
        <v>146</v>
      </c>
      <c r="G276" s="21" t="s">
        <v>217</v>
      </c>
      <c r="H276" s="1">
        <v>4900</v>
      </c>
      <c r="I276" s="21" t="s">
        <v>756</v>
      </c>
      <c r="J276" s="1">
        <v>45</v>
      </c>
      <c r="K276" s="21" t="s">
        <v>661</v>
      </c>
      <c r="L276" s="1" t="s">
        <v>759</v>
      </c>
      <c r="M276" s="2">
        <v>46300</v>
      </c>
      <c r="N276" s="21" t="s">
        <v>5</v>
      </c>
      <c r="O276" s="21" t="s">
        <v>137</v>
      </c>
      <c r="P276" s="21" t="s">
        <v>137</v>
      </c>
      <c r="Q276" s="2"/>
      <c r="R276" s="21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>MONTH(M276)</f>
        <v>10</v>
      </c>
    </row>
    <row r="277" spans="1:28" x14ac:dyDescent="0.35">
      <c r="A277" s="1">
        <v>1527654</v>
      </c>
      <c r="B277" s="21" t="s">
        <v>132</v>
      </c>
      <c r="C277" s="21" t="s">
        <v>428</v>
      </c>
      <c r="D277" s="21" t="s">
        <v>134</v>
      </c>
      <c r="E277" s="2">
        <v>46293</v>
      </c>
      <c r="F277" s="21" t="s">
        <v>146</v>
      </c>
      <c r="G277" s="21" t="s">
        <v>217</v>
      </c>
      <c r="H277" s="1">
        <v>4900</v>
      </c>
      <c r="I277" s="21" t="s">
        <v>756</v>
      </c>
      <c r="J277" s="1">
        <v>47</v>
      </c>
      <c r="K277" s="21" t="s">
        <v>661</v>
      </c>
      <c r="L277" s="1" t="s">
        <v>760</v>
      </c>
      <c r="M277" s="2">
        <v>46300</v>
      </c>
      <c r="N277" s="21" t="s">
        <v>5</v>
      </c>
      <c r="O277" s="21" t="s">
        <v>137</v>
      </c>
      <c r="P277" s="21" t="s">
        <v>137</v>
      </c>
      <c r="Q277" s="2"/>
      <c r="R277" s="21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>MONTH(M277)</f>
        <v>10</v>
      </c>
    </row>
    <row r="278" spans="1:28" x14ac:dyDescent="0.35">
      <c r="A278" s="1">
        <v>1443389</v>
      </c>
      <c r="B278" s="21" t="s">
        <v>132</v>
      </c>
      <c r="C278" s="21" t="s">
        <v>428</v>
      </c>
      <c r="D278" s="21" t="s">
        <v>134</v>
      </c>
      <c r="E278" s="2">
        <v>46281</v>
      </c>
      <c r="F278" s="21" t="s">
        <v>135</v>
      </c>
      <c r="G278" s="21" t="s">
        <v>694</v>
      </c>
      <c r="H278" s="1">
        <v>867</v>
      </c>
      <c r="I278" s="21" t="s">
        <v>695</v>
      </c>
      <c r="J278" s="1">
        <v>7</v>
      </c>
      <c r="K278" s="21" t="s">
        <v>696</v>
      </c>
      <c r="M278" s="2">
        <v>46301</v>
      </c>
      <c r="N278" s="21" t="s">
        <v>28</v>
      </c>
      <c r="O278" s="21" t="s">
        <v>136</v>
      </c>
      <c r="P278" s="21" t="s">
        <v>137</v>
      </c>
      <c r="Q278" s="2"/>
      <c r="R278" s="21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>MONTH(M278)</f>
        <v>10</v>
      </c>
    </row>
    <row r="279" spans="1:28" x14ac:dyDescent="0.35">
      <c r="A279" s="1">
        <v>1443198</v>
      </c>
      <c r="B279" s="21" t="s">
        <v>132</v>
      </c>
      <c r="C279" s="21" t="s">
        <v>428</v>
      </c>
      <c r="D279" s="21" t="s">
        <v>134</v>
      </c>
      <c r="E279" s="2">
        <v>46289</v>
      </c>
      <c r="F279" s="21" t="s">
        <v>135</v>
      </c>
      <c r="G279" s="21" t="s">
        <v>326</v>
      </c>
      <c r="H279" s="1">
        <v>432</v>
      </c>
      <c r="I279" s="21" t="s">
        <v>710</v>
      </c>
      <c r="J279" s="1">
        <v>141</v>
      </c>
      <c r="K279" s="21" t="s">
        <v>702</v>
      </c>
      <c r="L279" s="1" t="s">
        <v>743</v>
      </c>
      <c r="M279" s="2">
        <v>46301</v>
      </c>
      <c r="N279" s="21" t="s">
        <v>28</v>
      </c>
      <c r="O279" s="21" t="s">
        <v>137</v>
      </c>
      <c r="P279" s="21" t="s">
        <v>137</v>
      </c>
      <c r="Q279" s="2"/>
      <c r="R279" s="21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>MONTH(M279)</f>
        <v>10</v>
      </c>
    </row>
    <row r="280" spans="1:28" x14ac:dyDescent="0.35">
      <c r="A280" s="1">
        <v>1427063</v>
      </c>
      <c r="B280" s="21" t="s">
        <v>132</v>
      </c>
      <c r="C280" s="21" t="s">
        <v>428</v>
      </c>
      <c r="D280" s="21" t="s">
        <v>134</v>
      </c>
      <c r="E280" s="2">
        <v>46294</v>
      </c>
      <c r="F280" s="21" t="s">
        <v>139</v>
      </c>
      <c r="G280" s="21" t="s">
        <v>140</v>
      </c>
      <c r="H280" s="1">
        <v>251</v>
      </c>
      <c r="I280" s="21" t="s">
        <v>596</v>
      </c>
      <c r="J280" s="1">
        <v>119</v>
      </c>
      <c r="K280" s="21" t="s">
        <v>394</v>
      </c>
      <c r="L280" s="1" t="s">
        <v>764</v>
      </c>
      <c r="M280" s="2">
        <v>46301</v>
      </c>
      <c r="N280" s="21" t="s">
        <v>3</v>
      </c>
      <c r="O280" s="21" t="s">
        <v>136</v>
      </c>
      <c r="P280" s="21" t="s">
        <v>137</v>
      </c>
      <c r="Q280" s="2"/>
      <c r="R280" s="21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>MONTH(M280)</f>
        <v>10</v>
      </c>
    </row>
    <row r="281" spans="1:28" x14ac:dyDescent="0.35">
      <c r="A281" s="1">
        <v>1324178</v>
      </c>
      <c r="B281" s="21" t="s">
        <v>132</v>
      </c>
      <c r="C281" s="21" t="s">
        <v>428</v>
      </c>
      <c r="D281" s="21" t="s">
        <v>134</v>
      </c>
      <c r="E281" s="2">
        <v>46294</v>
      </c>
      <c r="F281" s="21" t="s">
        <v>135</v>
      </c>
      <c r="G281" s="21" t="s">
        <v>765</v>
      </c>
      <c r="H281" s="1">
        <v>597</v>
      </c>
      <c r="I281" s="21" t="s">
        <v>766</v>
      </c>
      <c r="J281" s="1">
        <v>110</v>
      </c>
      <c r="K281" s="21" t="s">
        <v>191</v>
      </c>
      <c r="L281" s="1" t="s">
        <v>767</v>
      </c>
      <c r="M281" s="2">
        <v>46301</v>
      </c>
      <c r="N281" s="21" t="s">
        <v>24</v>
      </c>
      <c r="O281" s="21" t="s">
        <v>137</v>
      </c>
      <c r="P281" s="21" t="s">
        <v>137</v>
      </c>
      <c r="Q281" s="2"/>
      <c r="R281" s="21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>MONTH(M281)</f>
        <v>10</v>
      </c>
    </row>
    <row r="282" spans="1:28" x14ac:dyDescent="0.35">
      <c r="A282" s="1">
        <v>1324178</v>
      </c>
      <c r="B282" s="21" t="s">
        <v>132</v>
      </c>
      <c r="C282" s="21" t="s">
        <v>428</v>
      </c>
      <c r="D282" s="21" t="s">
        <v>134</v>
      </c>
      <c r="E282" s="2">
        <v>46294</v>
      </c>
      <c r="F282" s="21" t="s">
        <v>135</v>
      </c>
      <c r="G282" s="21" t="s">
        <v>765</v>
      </c>
      <c r="H282" s="1">
        <v>597</v>
      </c>
      <c r="I282" s="21" t="s">
        <v>766</v>
      </c>
      <c r="J282" s="1">
        <v>105</v>
      </c>
      <c r="K282" s="21" t="s">
        <v>191</v>
      </c>
      <c r="L282" s="1" t="s">
        <v>768</v>
      </c>
      <c r="M282" s="2">
        <v>46301</v>
      </c>
      <c r="N282" s="21" t="s">
        <v>24</v>
      </c>
      <c r="O282" s="21" t="s">
        <v>137</v>
      </c>
      <c r="P282" s="21" t="s">
        <v>137</v>
      </c>
      <c r="Q282" s="2"/>
      <c r="R282" s="21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>MONTH(M282)</f>
        <v>10</v>
      </c>
    </row>
    <row r="283" spans="1:28" x14ac:dyDescent="0.35">
      <c r="A283" s="1">
        <v>1421684</v>
      </c>
      <c r="B283" s="21" t="s">
        <v>132</v>
      </c>
      <c r="C283" s="21" t="s">
        <v>428</v>
      </c>
      <c r="D283" s="21" t="s">
        <v>134</v>
      </c>
      <c r="E283" s="2">
        <v>46294</v>
      </c>
      <c r="F283" s="21" t="s">
        <v>135</v>
      </c>
      <c r="G283" s="21" t="s">
        <v>769</v>
      </c>
      <c r="H283" s="1">
        <v>1794</v>
      </c>
      <c r="I283" s="21" t="s">
        <v>692</v>
      </c>
      <c r="J283" s="1">
        <v>118</v>
      </c>
      <c r="K283" s="21" t="s">
        <v>179</v>
      </c>
      <c r="L283" s="1" t="s">
        <v>770</v>
      </c>
      <c r="M283" s="2">
        <v>46301</v>
      </c>
      <c r="N283" s="21" t="s">
        <v>24</v>
      </c>
      <c r="O283" s="21" t="s">
        <v>137</v>
      </c>
      <c r="P283" s="21" t="s">
        <v>137</v>
      </c>
      <c r="Q283" s="2"/>
      <c r="R283" s="21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>MONTH(M283)</f>
        <v>10</v>
      </c>
    </row>
    <row r="284" spans="1:28" x14ac:dyDescent="0.35">
      <c r="A284" s="1">
        <v>1634024</v>
      </c>
      <c r="B284" s="21" t="s">
        <v>132</v>
      </c>
      <c r="C284" s="21" t="s">
        <v>428</v>
      </c>
      <c r="D284" s="21" t="s">
        <v>134</v>
      </c>
      <c r="E284" s="2">
        <v>46300</v>
      </c>
      <c r="F284" s="21" t="s">
        <v>135</v>
      </c>
      <c r="G284" s="21" t="s">
        <v>778</v>
      </c>
      <c r="H284" s="1">
        <v>88</v>
      </c>
      <c r="I284" s="21" t="s">
        <v>766</v>
      </c>
      <c r="J284" s="1">
        <v>99</v>
      </c>
      <c r="K284" s="21" t="s">
        <v>169</v>
      </c>
      <c r="L284" s="1" t="s">
        <v>630</v>
      </c>
      <c r="M284" s="2">
        <v>46301</v>
      </c>
      <c r="N284" s="21" t="s">
        <v>28</v>
      </c>
      <c r="O284" s="21" t="s">
        <v>136</v>
      </c>
      <c r="P284" s="21" t="s">
        <v>137</v>
      </c>
      <c r="Q284" s="2"/>
      <c r="R284" s="21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>MONTH(M284)</f>
        <v>10</v>
      </c>
    </row>
    <row r="285" spans="1:28" x14ac:dyDescent="0.35">
      <c r="A285" s="1">
        <v>1424918</v>
      </c>
      <c r="B285" s="21" t="s">
        <v>132</v>
      </c>
      <c r="C285" s="21" t="s">
        <v>428</v>
      </c>
      <c r="D285" s="21" t="s">
        <v>134</v>
      </c>
      <c r="E285" s="2">
        <v>46286</v>
      </c>
      <c r="F285" s="21" t="s">
        <v>146</v>
      </c>
      <c r="G285" s="21" t="s">
        <v>719</v>
      </c>
      <c r="H285" s="1">
        <v>184</v>
      </c>
      <c r="I285" s="21" t="s">
        <v>720</v>
      </c>
      <c r="J285" s="1">
        <v>6</v>
      </c>
      <c r="K285" s="21" t="s">
        <v>251</v>
      </c>
      <c r="L285" s="1" t="s">
        <v>688</v>
      </c>
      <c r="M285" s="2">
        <v>46302</v>
      </c>
      <c r="N285" s="21" t="s">
        <v>5</v>
      </c>
      <c r="O285" s="21" t="s">
        <v>136</v>
      </c>
      <c r="P285" s="21" t="s">
        <v>137</v>
      </c>
      <c r="Q285" s="2"/>
      <c r="R285" s="21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>MONTH(M285)</f>
        <v>10</v>
      </c>
    </row>
    <row r="286" spans="1:28" x14ac:dyDescent="0.35">
      <c r="A286" s="1">
        <v>1424678</v>
      </c>
      <c r="B286" s="21" t="s">
        <v>132</v>
      </c>
      <c r="C286" s="21" t="s">
        <v>428</v>
      </c>
      <c r="D286" s="21" t="s">
        <v>134</v>
      </c>
      <c r="E286" s="2">
        <v>46290</v>
      </c>
      <c r="F286" s="21" t="s">
        <v>196</v>
      </c>
      <c r="G286" s="21" t="s">
        <v>753</v>
      </c>
      <c r="H286" s="1">
        <v>726</v>
      </c>
      <c r="I286" s="21" t="s">
        <v>754</v>
      </c>
      <c r="J286" s="1">
        <v>9</v>
      </c>
      <c r="K286" s="21" t="s">
        <v>173</v>
      </c>
      <c r="M286" s="2">
        <v>46302</v>
      </c>
      <c r="N286" s="21" t="s">
        <v>5</v>
      </c>
      <c r="O286" s="21" t="s">
        <v>137</v>
      </c>
      <c r="P286" s="21" t="s">
        <v>137</v>
      </c>
      <c r="Q286" s="2"/>
      <c r="R286" s="21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>MONTH(M286)</f>
        <v>10</v>
      </c>
    </row>
    <row r="287" spans="1:28" x14ac:dyDescent="0.35">
      <c r="A287" s="1">
        <v>1487369</v>
      </c>
      <c r="B287" s="21" t="s">
        <v>132</v>
      </c>
      <c r="C287" s="21" t="s">
        <v>428</v>
      </c>
      <c r="D287" s="21" t="s">
        <v>134</v>
      </c>
      <c r="E287" s="2">
        <v>46293</v>
      </c>
      <c r="F287" s="21" t="s">
        <v>146</v>
      </c>
      <c r="G287" s="21" t="s">
        <v>187</v>
      </c>
      <c r="H287" s="1">
        <v>166</v>
      </c>
      <c r="I287" s="21" t="s">
        <v>761</v>
      </c>
      <c r="J287" s="1">
        <v>13</v>
      </c>
      <c r="K287" s="21" t="s">
        <v>762</v>
      </c>
      <c r="L287" s="1" t="s">
        <v>763</v>
      </c>
      <c r="M287" s="2">
        <v>46302</v>
      </c>
      <c r="N287" s="21" t="s">
        <v>5</v>
      </c>
      <c r="O287" s="21" t="s">
        <v>137</v>
      </c>
      <c r="P287" s="21" t="s">
        <v>137</v>
      </c>
      <c r="Q287" s="2"/>
      <c r="R287" s="21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>MONTH(M287)</f>
        <v>10</v>
      </c>
    </row>
    <row r="288" spans="1:28" x14ac:dyDescent="0.35">
      <c r="A288" s="1">
        <v>1487369</v>
      </c>
      <c r="B288" s="21" t="s">
        <v>132</v>
      </c>
      <c r="C288" s="21" t="s">
        <v>428</v>
      </c>
      <c r="D288" s="21" t="s">
        <v>134</v>
      </c>
      <c r="E288" s="2">
        <v>46293</v>
      </c>
      <c r="F288" s="21" t="s">
        <v>146</v>
      </c>
      <c r="G288" s="21" t="s">
        <v>187</v>
      </c>
      <c r="H288" s="1">
        <v>166</v>
      </c>
      <c r="I288" s="21" t="s">
        <v>761</v>
      </c>
      <c r="J288" s="1">
        <v>15</v>
      </c>
      <c r="K288" s="21" t="s">
        <v>229</v>
      </c>
      <c r="L288" s="1" t="s">
        <v>688</v>
      </c>
      <c r="M288" s="2">
        <v>46302</v>
      </c>
      <c r="N288" s="21" t="s">
        <v>5</v>
      </c>
      <c r="O288" s="21" t="s">
        <v>137</v>
      </c>
      <c r="P288" s="21" t="s">
        <v>137</v>
      </c>
      <c r="Q288" s="2"/>
      <c r="R288" s="21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>MONTH(M288)</f>
        <v>10</v>
      </c>
    </row>
    <row r="289" spans="1:28" x14ac:dyDescent="0.35">
      <c r="A289" s="1">
        <v>1360680</v>
      </c>
      <c r="B289" s="21" t="s">
        <v>132</v>
      </c>
      <c r="C289" s="21" t="s">
        <v>428</v>
      </c>
      <c r="D289" s="21" t="s">
        <v>134</v>
      </c>
      <c r="E289" s="2">
        <v>46294</v>
      </c>
      <c r="F289" s="21" t="s">
        <v>161</v>
      </c>
      <c r="G289" s="21" t="s">
        <v>213</v>
      </c>
      <c r="H289" s="1">
        <v>1208</v>
      </c>
      <c r="I289" s="21" t="s">
        <v>746</v>
      </c>
      <c r="J289" s="1">
        <v>93</v>
      </c>
      <c r="K289" s="21" t="s">
        <v>167</v>
      </c>
      <c r="L289" s="1" t="s">
        <v>681</v>
      </c>
      <c r="M289" s="2">
        <v>46302</v>
      </c>
      <c r="N289" s="21" t="s">
        <v>5</v>
      </c>
      <c r="O289" s="21" t="s">
        <v>137</v>
      </c>
      <c r="P289" s="21" t="s">
        <v>137</v>
      </c>
      <c r="Q289" s="2"/>
      <c r="R289" s="21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>MONTH(M289)</f>
        <v>10</v>
      </c>
    </row>
    <row r="290" spans="1:28" x14ac:dyDescent="0.35">
      <c r="A290" s="1">
        <v>1425845</v>
      </c>
      <c r="B290" s="21" t="s">
        <v>132</v>
      </c>
      <c r="C290" s="21" t="s">
        <v>428</v>
      </c>
      <c r="D290" s="21" t="s">
        <v>134</v>
      </c>
      <c r="E290" s="2">
        <v>46300</v>
      </c>
      <c r="F290" s="21" t="s">
        <v>135</v>
      </c>
      <c r="G290" s="21" t="s">
        <v>771</v>
      </c>
      <c r="H290" s="1">
        <v>502</v>
      </c>
      <c r="I290" s="21" t="s">
        <v>772</v>
      </c>
      <c r="J290" s="1">
        <v>82</v>
      </c>
      <c r="K290" s="21" t="s">
        <v>142</v>
      </c>
      <c r="L290" s="1" t="s">
        <v>752</v>
      </c>
      <c r="M290" s="2">
        <v>46303</v>
      </c>
      <c r="N290" s="21" t="s">
        <v>24</v>
      </c>
      <c r="O290" s="21" t="s">
        <v>145</v>
      </c>
      <c r="P290" s="21" t="s">
        <v>137</v>
      </c>
      <c r="Q290" s="2">
        <v>46303</v>
      </c>
      <c r="R290" s="2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>MONTH(M290)</f>
        <v>10</v>
      </c>
    </row>
    <row r="291" spans="1:28" x14ac:dyDescent="0.35">
      <c r="A291" s="1">
        <v>1634208</v>
      </c>
      <c r="B291" s="21" t="s">
        <v>132</v>
      </c>
      <c r="C291" s="21" t="s">
        <v>428</v>
      </c>
      <c r="D291" s="21" t="s">
        <v>134</v>
      </c>
      <c r="E291" s="2">
        <v>46300</v>
      </c>
      <c r="F291" s="21" t="s">
        <v>135</v>
      </c>
      <c r="G291" s="21" t="s">
        <v>771</v>
      </c>
      <c r="H291" s="1">
        <v>456</v>
      </c>
      <c r="I291" s="21" t="s">
        <v>772</v>
      </c>
      <c r="J291" s="1">
        <v>3</v>
      </c>
      <c r="K291" s="21" t="s">
        <v>181</v>
      </c>
      <c r="L291" s="1" t="s">
        <v>779</v>
      </c>
      <c r="M291" s="2">
        <v>46303</v>
      </c>
      <c r="N291" s="21" t="s">
        <v>24</v>
      </c>
      <c r="O291" s="21" t="s">
        <v>137</v>
      </c>
      <c r="P291" s="21" t="s">
        <v>137</v>
      </c>
      <c r="Q291" s="2"/>
      <c r="R291" s="21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>MONTH(M291)</f>
        <v>10</v>
      </c>
    </row>
    <row r="292" spans="1:28" x14ac:dyDescent="0.35">
      <c r="A292" s="1">
        <v>1425779</v>
      </c>
      <c r="B292" s="21" t="s">
        <v>132</v>
      </c>
      <c r="C292" s="21" t="s">
        <v>428</v>
      </c>
      <c r="D292" s="21" t="s">
        <v>134</v>
      </c>
      <c r="E292" s="2">
        <v>46282</v>
      </c>
      <c r="F292" s="21" t="s">
        <v>135</v>
      </c>
      <c r="G292" s="21" t="s">
        <v>708</v>
      </c>
      <c r="H292" s="1">
        <v>2145</v>
      </c>
      <c r="I292" s="21" t="s">
        <v>591</v>
      </c>
      <c r="J292" s="1">
        <v>54</v>
      </c>
      <c r="K292" s="21" t="s">
        <v>181</v>
      </c>
      <c r="L292" s="1" t="s">
        <v>709</v>
      </c>
      <c r="M292" s="2">
        <v>46304</v>
      </c>
      <c r="N292" s="21" t="s">
        <v>24</v>
      </c>
      <c r="O292" s="21" t="s">
        <v>145</v>
      </c>
      <c r="P292" s="21" t="s">
        <v>137</v>
      </c>
      <c r="Q292" s="2">
        <v>46304</v>
      </c>
      <c r="R292" s="2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>MONTH(M292)</f>
        <v>10</v>
      </c>
    </row>
    <row r="293" spans="1:28" x14ac:dyDescent="0.35">
      <c r="A293" s="1">
        <v>1635979</v>
      </c>
      <c r="B293" s="21" t="s">
        <v>132</v>
      </c>
      <c r="C293" s="21" t="s">
        <v>428</v>
      </c>
      <c r="D293" s="21" t="s">
        <v>134</v>
      </c>
      <c r="E293" s="2">
        <v>46301</v>
      </c>
      <c r="F293" s="21" t="s">
        <v>146</v>
      </c>
      <c r="G293" s="21" t="s">
        <v>780</v>
      </c>
      <c r="H293" s="1">
        <v>228</v>
      </c>
      <c r="I293" s="21" t="s">
        <v>781</v>
      </c>
      <c r="J293" s="1">
        <v>45</v>
      </c>
      <c r="K293" s="21" t="s">
        <v>191</v>
      </c>
      <c r="L293" s="1" t="s">
        <v>752</v>
      </c>
      <c r="M293" s="2">
        <v>46304</v>
      </c>
      <c r="N293" s="21" t="s">
        <v>3</v>
      </c>
      <c r="O293" s="21" t="s">
        <v>137</v>
      </c>
      <c r="P293" s="21" t="s">
        <v>137</v>
      </c>
      <c r="Q293" s="2"/>
      <c r="R293" s="21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>MONTH(M293)</f>
        <v>10</v>
      </c>
    </row>
    <row r="294" spans="1:28" x14ac:dyDescent="0.35">
      <c r="A294" s="1">
        <v>1432774</v>
      </c>
      <c r="B294" s="21" t="s">
        <v>132</v>
      </c>
      <c r="C294" s="21" t="s">
        <v>428</v>
      </c>
      <c r="D294" s="21" t="s">
        <v>134</v>
      </c>
      <c r="E294" s="2">
        <v>46281</v>
      </c>
      <c r="F294" s="21" t="s">
        <v>155</v>
      </c>
      <c r="G294" s="21" t="s">
        <v>689</v>
      </c>
      <c r="H294" s="1">
        <v>392</v>
      </c>
      <c r="I294" s="21" t="s">
        <v>690</v>
      </c>
      <c r="J294" s="1">
        <v>141</v>
      </c>
      <c r="K294" s="21" t="s">
        <v>229</v>
      </c>
      <c r="L294" s="1" t="s">
        <v>691</v>
      </c>
      <c r="M294" s="2">
        <v>46308</v>
      </c>
      <c r="N294" s="21" t="s">
        <v>21</v>
      </c>
      <c r="O294" s="21" t="s">
        <v>137</v>
      </c>
      <c r="P294" s="21" t="s">
        <v>137</v>
      </c>
      <c r="Q294" s="2"/>
      <c r="R294" s="21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>MONTH(M294)</f>
        <v>10</v>
      </c>
    </row>
    <row r="295" spans="1:28" x14ac:dyDescent="0.35">
      <c r="A295" s="1">
        <v>1610265</v>
      </c>
      <c r="B295" s="21" t="s">
        <v>132</v>
      </c>
      <c r="C295" s="21" t="s">
        <v>428</v>
      </c>
      <c r="D295" s="21" t="s">
        <v>134</v>
      </c>
      <c r="E295" s="2">
        <v>46290</v>
      </c>
      <c r="F295" s="21" t="s">
        <v>155</v>
      </c>
      <c r="G295" s="21" t="s">
        <v>159</v>
      </c>
      <c r="H295" s="1">
        <v>336</v>
      </c>
      <c r="I295" s="21" t="s">
        <v>750</v>
      </c>
      <c r="J295" s="1">
        <v>111</v>
      </c>
      <c r="K295" s="21" t="s">
        <v>163</v>
      </c>
      <c r="L295" s="1" t="s">
        <v>668</v>
      </c>
      <c r="M295" s="2">
        <v>46308</v>
      </c>
      <c r="N295" s="21" t="s">
        <v>24</v>
      </c>
      <c r="O295" s="21" t="s">
        <v>137</v>
      </c>
      <c r="P295" s="21" t="s">
        <v>137</v>
      </c>
      <c r="Q295" s="2"/>
      <c r="R295" s="21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>MONTH(M295)</f>
        <v>10</v>
      </c>
    </row>
    <row r="296" spans="1:28" x14ac:dyDescent="0.35">
      <c r="A296" s="1">
        <v>1360704</v>
      </c>
      <c r="B296" s="21" t="s">
        <v>132</v>
      </c>
      <c r="C296" s="21" t="s">
        <v>428</v>
      </c>
      <c r="D296" s="21" t="s">
        <v>134</v>
      </c>
      <c r="E296" s="2">
        <v>46290</v>
      </c>
      <c r="F296" s="21" t="s">
        <v>161</v>
      </c>
      <c r="G296" s="21" t="s">
        <v>553</v>
      </c>
      <c r="H296" s="1">
        <v>63</v>
      </c>
      <c r="I296" s="21" t="s">
        <v>549</v>
      </c>
      <c r="J296" s="1">
        <v>49</v>
      </c>
      <c r="K296" s="21" t="s">
        <v>151</v>
      </c>
      <c r="L296" s="1" t="s">
        <v>752</v>
      </c>
      <c r="M296" s="2">
        <v>46308</v>
      </c>
      <c r="N296" s="21" t="s">
        <v>5</v>
      </c>
      <c r="O296" s="21" t="s">
        <v>137</v>
      </c>
      <c r="P296" s="21" t="s">
        <v>137</v>
      </c>
      <c r="Q296" s="2"/>
      <c r="R296" s="21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>MONTH(M296)</f>
        <v>10</v>
      </c>
    </row>
    <row r="297" spans="1:28" x14ac:dyDescent="0.35">
      <c r="A297" s="1">
        <v>1536477</v>
      </c>
      <c r="B297" s="21" t="s">
        <v>132</v>
      </c>
      <c r="C297" s="21" t="s">
        <v>428</v>
      </c>
      <c r="D297" s="21" t="s">
        <v>134</v>
      </c>
      <c r="E297" s="2">
        <v>46300</v>
      </c>
      <c r="F297" s="21" t="s">
        <v>135</v>
      </c>
      <c r="G297" s="21" t="s">
        <v>773</v>
      </c>
      <c r="H297" s="1">
        <v>679</v>
      </c>
      <c r="I297" s="21" t="s">
        <v>692</v>
      </c>
      <c r="J297" s="1">
        <v>23</v>
      </c>
      <c r="K297" s="21" t="s">
        <v>774</v>
      </c>
      <c r="L297" s="1" t="s">
        <v>775</v>
      </c>
      <c r="M297" s="2">
        <v>46308</v>
      </c>
      <c r="N297" s="21" t="s">
        <v>24</v>
      </c>
      <c r="O297" s="21" t="s">
        <v>145</v>
      </c>
      <c r="P297" s="21" t="s">
        <v>137</v>
      </c>
      <c r="Q297" s="2">
        <v>46308</v>
      </c>
      <c r="R297" s="21" t="s">
        <v>124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>MONTH(M297)</f>
        <v>10</v>
      </c>
    </row>
    <row r="298" spans="1:28" x14ac:dyDescent="0.35">
      <c r="A298" s="1">
        <v>1554491</v>
      </c>
      <c r="B298" s="21" t="s">
        <v>132</v>
      </c>
      <c r="C298" s="21" t="s">
        <v>428</v>
      </c>
      <c r="D298" s="21" t="s">
        <v>134</v>
      </c>
      <c r="E298" s="2">
        <v>46300</v>
      </c>
      <c r="F298" s="21" t="s">
        <v>135</v>
      </c>
      <c r="G298" s="21" t="s">
        <v>362</v>
      </c>
      <c r="H298" s="1">
        <v>233</v>
      </c>
      <c r="I298" s="21" t="s">
        <v>710</v>
      </c>
      <c r="J298" s="1">
        <v>111</v>
      </c>
      <c r="K298" s="21" t="s">
        <v>776</v>
      </c>
      <c r="L298" s="1" t="s">
        <v>777</v>
      </c>
      <c r="M298" s="2">
        <v>46308</v>
      </c>
      <c r="N298" s="21" t="s">
        <v>28</v>
      </c>
      <c r="O298" s="21" t="s">
        <v>137</v>
      </c>
      <c r="P298" s="21" t="s">
        <v>137</v>
      </c>
      <c r="Q298" s="2"/>
      <c r="R298" s="21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>MONTH(M298)</f>
        <v>10</v>
      </c>
    </row>
    <row r="299" spans="1:28" x14ac:dyDescent="0.35">
      <c r="A299" s="1">
        <v>1426370</v>
      </c>
      <c r="B299" s="21" t="s">
        <v>132</v>
      </c>
      <c r="C299" s="21" t="s">
        <v>428</v>
      </c>
      <c r="D299" s="21" t="s">
        <v>134</v>
      </c>
      <c r="E299" s="2">
        <v>46301</v>
      </c>
      <c r="F299" s="21" t="s">
        <v>161</v>
      </c>
      <c r="G299" s="21" t="s">
        <v>209</v>
      </c>
      <c r="H299" s="1">
        <v>517</v>
      </c>
      <c r="I299" s="21" t="s">
        <v>549</v>
      </c>
      <c r="J299" s="1">
        <v>39</v>
      </c>
      <c r="K299" s="21" t="s">
        <v>251</v>
      </c>
      <c r="L299" s="1" t="s">
        <v>681</v>
      </c>
      <c r="M299" s="2">
        <v>46308</v>
      </c>
      <c r="N299" s="21" t="s">
        <v>3</v>
      </c>
      <c r="O299" s="21" t="s">
        <v>137</v>
      </c>
      <c r="P299" s="21" t="s">
        <v>137</v>
      </c>
      <c r="Q299" s="2"/>
      <c r="R299" s="21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>MONTH(M299)</f>
        <v>10</v>
      </c>
    </row>
    <row r="300" spans="1:28" x14ac:dyDescent="0.35">
      <c r="A300" s="1">
        <v>1362038</v>
      </c>
      <c r="B300" s="21" t="s">
        <v>132</v>
      </c>
      <c r="C300" s="21" t="s">
        <v>428</v>
      </c>
      <c r="D300" s="21" t="s">
        <v>134</v>
      </c>
      <c r="E300" s="2">
        <v>46303</v>
      </c>
      <c r="F300" s="21" t="s">
        <v>135</v>
      </c>
      <c r="G300" s="21" t="s">
        <v>782</v>
      </c>
      <c r="H300" s="1">
        <v>1450</v>
      </c>
      <c r="I300" s="21" t="s">
        <v>667</v>
      </c>
      <c r="J300" s="1">
        <v>127</v>
      </c>
      <c r="K300" s="21" t="s">
        <v>783</v>
      </c>
      <c r="L300" s="1" t="s">
        <v>784</v>
      </c>
      <c r="M300" s="2">
        <v>46308</v>
      </c>
      <c r="N300" s="21" t="s">
        <v>24</v>
      </c>
      <c r="O300" s="21" t="s">
        <v>145</v>
      </c>
      <c r="P300" s="21" t="s">
        <v>137</v>
      </c>
      <c r="Q300" s="2">
        <v>46308</v>
      </c>
      <c r="R300" s="2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>MONTH(M300)</f>
        <v>10</v>
      </c>
    </row>
    <row r="301" spans="1:28" x14ac:dyDescent="0.35">
      <c r="A301" s="1">
        <v>1427450</v>
      </c>
      <c r="B301" s="21" t="s">
        <v>132</v>
      </c>
      <c r="C301" s="21" t="s">
        <v>428</v>
      </c>
      <c r="D301" s="21" t="s">
        <v>134</v>
      </c>
      <c r="E301" s="2">
        <v>46303</v>
      </c>
      <c r="F301" s="21" t="s">
        <v>161</v>
      </c>
      <c r="G301" s="21" t="s">
        <v>785</v>
      </c>
      <c r="H301" s="1">
        <v>643</v>
      </c>
      <c r="I301" s="21" t="s">
        <v>786</v>
      </c>
      <c r="J301" s="1">
        <v>1</v>
      </c>
      <c r="K301" s="21" t="s">
        <v>447</v>
      </c>
      <c r="L301" s="1" t="s">
        <v>787</v>
      </c>
      <c r="M301" s="2">
        <v>46308</v>
      </c>
      <c r="N301" s="21" t="s">
        <v>3</v>
      </c>
      <c r="O301" s="21" t="s">
        <v>137</v>
      </c>
      <c r="P301" s="21" t="s">
        <v>137</v>
      </c>
      <c r="Q301" s="2"/>
      <c r="R301" s="21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>MONTH(M301)</f>
        <v>10</v>
      </c>
    </row>
    <row r="302" spans="1:28" x14ac:dyDescent="0.35">
      <c r="A302" s="1">
        <v>1532159</v>
      </c>
      <c r="B302" s="21" t="s">
        <v>132</v>
      </c>
      <c r="C302" s="21" t="s">
        <v>428</v>
      </c>
      <c r="D302" s="21" t="s">
        <v>134</v>
      </c>
      <c r="E302" s="2">
        <v>46281</v>
      </c>
      <c r="F302" s="21" t="s">
        <v>196</v>
      </c>
      <c r="G302" s="21" t="s">
        <v>698</v>
      </c>
      <c r="H302" s="1">
        <v>777</v>
      </c>
      <c r="I302" s="21" t="s">
        <v>699</v>
      </c>
      <c r="J302" s="1">
        <v>136</v>
      </c>
      <c r="K302" s="21" t="s">
        <v>700</v>
      </c>
      <c r="L302" s="1" t="s">
        <v>701</v>
      </c>
      <c r="M302" s="2">
        <v>46310</v>
      </c>
      <c r="N302" s="21" t="s">
        <v>3</v>
      </c>
      <c r="O302" s="21" t="s">
        <v>137</v>
      </c>
      <c r="P302" s="21" t="s">
        <v>137</v>
      </c>
      <c r="Q302" s="2"/>
      <c r="R302" s="21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>MONTH(M302)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I14" sqref="I14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46313</v>
      </c>
      <c r="H2" s="7">
        <f ca="1">VLOOKUP(G2,A:E,5,0)</f>
        <v>11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44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22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6.38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44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22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5.5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44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2026-10-19T18:11:47Z</dcterms:modified>
</cp:coreProperties>
</file>